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pvehueus-my.sharepoint.com/personal/gdemaguregui001_ikasle_ehu_eus/Documents/Informatica/VS Code/BISKY/ByM/FIRMAS EMAIL/Excels/"/>
    </mc:Choice>
  </mc:AlternateContent>
  <xr:revisionPtr revIDLastSave="2798" documentId="13_ncr:1_{82BDF369-FD02-47AF-A384-C372D8BE7D62}" xr6:coauthVersionLast="47" xr6:coauthVersionMax="47" xr10:uidLastSave="{155E9198-31A9-4045-B35B-81A0F33ECF08}"/>
  <bookViews>
    <workbookView xWindow="29880" yWindow="1785" windowWidth="21600" windowHeight="11295" activeTab="1" xr2:uid="{8AAC2B42-6399-4190-A2B4-9A5ECB1763B8}"/>
  </bookViews>
  <sheets>
    <sheet name="ReadMe" sheetId="8" r:id="rId1"/>
    <sheet name="Miembros" sheetId="1" r:id="rId2"/>
    <sheet name="Colaboradores" sheetId="3" r:id="rId3"/>
    <sheet name="Estadisticas" sheetId="2" r:id="rId4"/>
    <sheet name="Gráficos" sheetId="5" r:id="rId5"/>
    <sheet name="Alumnis" sheetId="4" r:id="rId6"/>
    <sheet name="Faculties" sheetId="6" r:id="rId7"/>
    <sheet name="Hoja1" sheetId="7" r:id="rId8"/>
  </sheets>
  <definedNames>
    <definedName name="SegmentaciónDeDatos_Género">#N/A</definedName>
    <definedName name="SegmentaciónDeDatos_Tipo_de_Participante">#N/A</definedName>
  </definedNames>
  <calcPr calcId="191028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8" i="4" l="1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G11" i="2"/>
  <c r="G10" i="2"/>
  <c r="H10" i="2" s="1"/>
  <c r="F6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</calcChain>
</file>

<file path=xl/sharedStrings.xml><?xml version="1.0" encoding="utf-8"?>
<sst xmlns="http://schemas.openxmlformats.org/spreadsheetml/2006/main" count="2999" uniqueCount="1197">
  <si>
    <t>1. Ir a la pestaña de Miembros</t>
  </si>
  <si>
    <t>2. Bajar hasta el último miembro</t>
  </si>
  <si>
    <t>2. Seleccionar la fila del miembro a eliminar. Para ello pulsar el número de fila del excel (a la izq de todo)</t>
  </si>
  <si>
    <t>3. Rellenar la primera fila vacía con los datos del nuevo miembro (El número se debería actualizar solo)</t>
  </si>
  <si>
    <t>3. Pulsar ctrl+x para cortar la fila</t>
  </si>
  <si>
    <t>4. Ir a la pestaña de Alumnis</t>
  </si>
  <si>
    <t>5. Bajar hasta el último alumni</t>
  </si>
  <si>
    <t>6. Añadir una fila a la tabla y selecionarla</t>
  </si>
  <si>
    <t>7. Pulsar ctrl+shift+v para pegar los datos del miembro eliminado (pegado sin formato)</t>
  </si>
  <si>
    <t>8. Corregir las columnas que no concuerden con el formato de la tabla de alumni</t>
  </si>
  <si>
    <t>Repetir los pasos de "Eliminar miembros" modificando el paso 4</t>
  </si>
  <si>
    <t>En lugar de ir a la pestaña de Alumnis, se irá a la pestaña de Colaboradores</t>
  </si>
  <si>
    <t>NOMBRE +2 apellidos</t>
  </si>
  <si>
    <t>Número</t>
  </si>
  <si>
    <t>Género</t>
  </si>
  <si>
    <t>Tipo de Participante</t>
  </si>
  <si>
    <t>Fecha fase de pruebas</t>
  </si>
  <si>
    <t>Reconocimiento como miembro</t>
  </si>
  <si>
    <t>DNI</t>
  </si>
  <si>
    <t>EQUIPO</t>
  </si>
  <si>
    <t>EQUIPO 2</t>
  </si>
  <si>
    <t>CORREO GMAIL</t>
  </si>
  <si>
    <t>CORREO GMAIL2</t>
  </si>
  <si>
    <t>CORREO UNIVERSIDAD</t>
  </si>
  <si>
    <t>CORREO DOMINIO PROPIO</t>
  </si>
  <si>
    <t>TELÉFONO</t>
  </si>
  <si>
    <t>NIVEL DE TITULACIÓN</t>
  </si>
  <si>
    <t>TITULACIÓN ACTUAL</t>
  </si>
  <si>
    <t>TITULACIONES FINALIZADAS</t>
  </si>
  <si>
    <t>PRÁCTICAS</t>
  </si>
  <si>
    <t>Linked In</t>
  </si>
  <si>
    <t xml:space="preserve">CONTRATO DE PARTICIPACIÓN </t>
  </si>
  <si>
    <t>ACCESO AULA</t>
  </si>
  <si>
    <t>CORREO ACTIVO</t>
  </si>
  <si>
    <t>ACCESO Teams</t>
  </si>
  <si>
    <t>ACCESO BiskyCloud</t>
  </si>
  <si>
    <t>ACCESO 3DEXPERIENCE</t>
  </si>
  <si>
    <t>ROL DISCORD</t>
  </si>
  <si>
    <t>Unai Ruiz González</t>
  </si>
  <si>
    <t>Hombre</t>
  </si>
  <si>
    <t>Technical</t>
  </si>
  <si>
    <t>45890176R</t>
  </si>
  <si>
    <t>Avionics</t>
  </si>
  <si>
    <t>ruizgonzalezunai@gmail.com</t>
  </si>
  <si>
    <t>FALTA</t>
  </si>
  <si>
    <t>uruiz026@ikasle.ehu.eus</t>
  </si>
  <si>
    <t>uruiz@biskyteam.com</t>
  </si>
  <si>
    <t>DOCTORADO</t>
  </si>
  <si>
    <t>Doctorado en Tecnologías de la Información y Comunicaciones en Redes Móviles</t>
  </si>
  <si>
    <t>Grado en Ingeniería en Tecnología de Telecomunicación + Máster en Ingeniería Computacional y Sistemas Inteligentes</t>
  </si>
  <si>
    <t>LinkedIn Unai Ruiz</t>
  </si>
  <si>
    <t>Miembro</t>
  </si>
  <si>
    <t>Josu del Río Berasategui</t>
  </si>
  <si>
    <t>79138875S</t>
  </si>
  <si>
    <t>Flight Control</t>
  </si>
  <si>
    <t>josdriuu@gmail.com</t>
  </si>
  <si>
    <t>jdelrio012@ikasle.ehu.eus</t>
  </si>
  <si>
    <t>jdelrio@biskyteam.com</t>
  </si>
  <si>
    <t>Doctorado en Ingeniería Informática</t>
  </si>
  <si>
    <t>Grado en Ingeniería Electrónica Industrial y Automática + Máster en Ingeniería Computacional y Sistemas Inteligentes</t>
  </si>
  <si>
    <t>LinkedIn Josu del Rio</t>
  </si>
  <si>
    <t>Jimena Isabel del Río Rodrigálvarez</t>
  </si>
  <si>
    <t>Mujer</t>
  </si>
  <si>
    <t>Team Leader</t>
  </si>
  <si>
    <t>16632616M</t>
  </si>
  <si>
    <t>jimenadelrio1@gmail.com</t>
  </si>
  <si>
    <t>delriojimena1@gmail.com</t>
  </si>
  <si>
    <t>jdelrio015@ikasle.ehu.eus</t>
  </si>
  <si>
    <t>jisabel@biskyteam.com</t>
  </si>
  <si>
    <t>MÁSTER</t>
  </si>
  <si>
    <t>Máster en Ingeniería de Control, Automatización y Robótica</t>
  </si>
  <si>
    <t>Grado en Ingeniería Electrónica Industrial y Automática</t>
  </si>
  <si>
    <t>LinkedIn Jimena del Rio</t>
  </si>
  <si>
    <t>Chief / Project Manager</t>
  </si>
  <si>
    <t>Ander Arroyo Kremer</t>
  </si>
  <si>
    <t>Financial Manager</t>
  </si>
  <si>
    <t>20233463H</t>
  </si>
  <si>
    <t>Recovery</t>
  </si>
  <si>
    <t>a.arroyok@gmail.com</t>
  </si>
  <si>
    <t>aarroyo024@ikasle.ehu.eus</t>
  </si>
  <si>
    <t>aarroyo@biskyteam.com</t>
  </si>
  <si>
    <t>Máster en Ingeniería Industrial</t>
  </si>
  <si>
    <t>Grado en Ingeniería en Tecnología Industrial</t>
  </si>
  <si>
    <t>LinkedIn Ander Arroyo</t>
  </si>
  <si>
    <t>Unai Gómez Asporosa</t>
  </si>
  <si>
    <t>Member</t>
  </si>
  <si>
    <t>79067552S</t>
  </si>
  <si>
    <t>Propulsion</t>
  </si>
  <si>
    <t>unaigoas2002@gmail.com</t>
  </si>
  <si>
    <t>ugomez021@ikasle.ehu.eus</t>
  </si>
  <si>
    <t>ugomez@biskyteam.com</t>
  </si>
  <si>
    <t>LinkedIn Unai Gomez</t>
  </si>
  <si>
    <t>Discord Admin</t>
  </si>
  <si>
    <t>Asier Salgado Rueda</t>
  </si>
  <si>
    <t>45892612E</t>
  </si>
  <si>
    <t>Aerostructure</t>
  </si>
  <si>
    <t>asiersalgado2210@gmail.com</t>
  </si>
  <si>
    <t>asalgado013@ikasle.ehu.eus</t>
  </si>
  <si>
    <t>asalgado@biskyteam.com</t>
  </si>
  <si>
    <t>GRADO</t>
  </si>
  <si>
    <t>Grado en Ingeniería Mecánica</t>
  </si>
  <si>
    <t>LinkedIn Asier Salgado</t>
  </si>
  <si>
    <t>Jon Andoni Esteban Arenas</t>
  </si>
  <si>
    <t>16092270K</t>
  </si>
  <si>
    <t>jonaneste02@gmail.com</t>
  </si>
  <si>
    <t>jesteban020@ikasle.ehu.eus</t>
  </si>
  <si>
    <t>jaesteban@biskyteam.com</t>
  </si>
  <si>
    <t>Doble Máster en Ingeniería Industrial + Tecnologías Aeronáuticas y Máquina-Herramienta</t>
  </si>
  <si>
    <t>LinkedIn Jon Andoni Esteban</t>
  </si>
  <si>
    <t>Victoria Barahona Campo</t>
  </si>
  <si>
    <t>79117106G</t>
  </si>
  <si>
    <t>vickybcu@gmail.com</t>
  </si>
  <si>
    <t>Vbarahona001@ikasle.ehu.eus</t>
  </si>
  <si>
    <t>vbarahona@biskyteam.com</t>
  </si>
  <si>
    <t>LinkedIn Victoria Barahona</t>
  </si>
  <si>
    <t>Mikel Elustondo Mancisidor</t>
  </si>
  <si>
    <t>Project Manager</t>
  </si>
  <si>
    <t>73037061D</t>
  </si>
  <si>
    <t>me.elustondo@gmail.com</t>
  </si>
  <si>
    <t>melustondo003@ikasle.ehu.eus</t>
  </si>
  <si>
    <t>melustondo@biskyteam.com</t>
  </si>
  <si>
    <t>Máster en Sistemas Electrónicos Avanzados</t>
  </si>
  <si>
    <t>LinkedIn Mikel Elustondo</t>
  </si>
  <si>
    <t>Mario Casquete De la Puente</t>
  </si>
  <si>
    <t>79046850J</t>
  </si>
  <si>
    <t>Structures &amp; Fabrication</t>
  </si>
  <si>
    <t>mariocasqueteupv@gmail.com</t>
  </si>
  <si>
    <t>mcasquete001@ikasle.ehu.eus</t>
  </si>
  <si>
    <t>mcasquete@biskyteam.com</t>
  </si>
  <si>
    <t>LinkedIn Mario Casquete</t>
  </si>
  <si>
    <t>Mikel Frutes Pacheco</t>
  </si>
  <si>
    <t>78993273A</t>
  </si>
  <si>
    <t>urquetin@gmail.com</t>
  </si>
  <si>
    <t>mfrutes001@ikasle.ehu.eus</t>
  </si>
  <si>
    <t>mfrutes@biskyteam.com</t>
  </si>
  <si>
    <t xml:space="preserve"> LinkedIn Mikel Frutes</t>
  </si>
  <si>
    <t>Jon Ander Pacho Garcia</t>
  </si>
  <si>
    <t>79364138Q</t>
  </si>
  <si>
    <t>jonanpatxo@gmail.com</t>
  </si>
  <si>
    <t>jpacho005@ikasle.ehu.eus</t>
  </si>
  <si>
    <t>japacho@biskyteam.com</t>
  </si>
  <si>
    <t>LinkedIn Jon ander Pacho</t>
  </si>
  <si>
    <t xml:space="preserve">Iñigo Martínez Peña </t>
  </si>
  <si>
    <t>Chief</t>
  </si>
  <si>
    <t xml:space="preserve">16096386C </t>
  </si>
  <si>
    <t xml:space="preserve">inigo9001@gmail.com </t>
  </si>
  <si>
    <t>imartinez280@ikasle.ehu.eus</t>
  </si>
  <si>
    <t>imartinez@biskyteam.com</t>
  </si>
  <si>
    <t>LinkedIn Iñigo Martinez</t>
  </si>
  <si>
    <t>Juan Bilbao Pazos</t>
  </si>
  <si>
    <t>16102890S</t>
  </si>
  <si>
    <t>Business &amp; Management</t>
  </si>
  <si>
    <t>Juanbilbaopazos@gmail.com</t>
  </si>
  <si>
    <t>jbilbao112@ikasle.ehu.eus</t>
  </si>
  <si>
    <t>jbilbao@biskyteam.com</t>
  </si>
  <si>
    <t>LinkedIn Juan Bilbao</t>
  </si>
  <si>
    <t>Imanol Cornejo Fernandez</t>
  </si>
  <si>
    <t>16107767Q</t>
  </si>
  <si>
    <t>Imanol.cornejobt@gmail.com</t>
  </si>
  <si>
    <t>icornejo002@ikasle.ehu.eus</t>
  </si>
  <si>
    <t>icornejo@biskyteam.com</t>
  </si>
  <si>
    <t>LinkedIn Imanol Cornejo</t>
  </si>
  <si>
    <t>Maialen Jaureguibeitia Landeta</t>
  </si>
  <si>
    <t>79231443P</t>
  </si>
  <si>
    <t>m.jlandeta99@gmail.com</t>
  </si>
  <si>
    <t>mjaureguibeiti001@ikasle.ehu.eus</t>
  </si>
  <si>
    <t>mjaureguibeitia@biskyteam.com</t>
  </si>
  <si>
    <t>LinkedIn Maialen Jaureguibeitia</t>
  </si>
  <si>
    <t>Xabier Martínez Guevara</t>
  </si>
  <si>
    <t>20975261C</t>
  </si>
  <si>
    <t>xabiermgp@gmail.com</t>
  </si>
  <si>
    <t>xmartinez023@ikasle.ehu.eus</t>
  </si>
  <si>
    <t>xmartinez@biskyteam.com</t>
  </si>
  <si>
    <t>LinkedIn Xabier Martinez</t>
  </si>
  <si>
    <t>Xabier Millan Cavadas</t>
  </si>
  <si>
    <t>79143886N</t>
  </si>
  <si>
    <t>reibax111@gmail.com</t>
  </si>
  <si>
    <t>xabier.millan@gmail.com</t>
  </si>
  <si>
    <t>xmillan001@ikasle.ehu.eus</t>
  </si>
  <si>
    <t>xmillan@biskyteam.com</t>
  </si>
  <si>
    <t>LinkedIn Xabier Millán</t>
  </si>
  <si>
    <t xml:space="preserve">Erik Rojas Uribe-Echebarría </t>
  </si>
  <si>
    <t>16096494J</t>
  </si>
  <si>
    <t>Erikrojasue@gmail.com</t>
  </si>
  <si>
    <t>erojas007@ikasle.ehu.eus</t>
  </si>
  <si>
    <t>erojas@biskyteam.com</t>
  </si>
  <si>
    <t>LinkedIn Erik Rojas</t>
  </si>
  <si>
    <t>Jon Secada Martinez</t>
  </si>
  <si>
    <t>79114644A</t>
  </si>
  <si>
    <t>jonsm2002@gmail.com</t>
  </si>
  <si>
    <t>jsecada001@ikasle.ehu.eus</t>
  </si>
  <si>
    <t>jsecada@biskyteam.com</t>
  </si>
  <si>
    <t>LinkedIn Jon Secada</t>
  </si>
  <si>
    <t>Gorka Grijalba Barrañana</t>
  </si>
  <si>
    <t>79077621X</t>
  </si>
  <si>
    <t>Simulation</t>
  </si>
  <si>
    <t>gorka.gb.0602@gmail.com</t>
  </si>
  <si>
    <t>ggrijalba002@ikasle.ehu.eus</t>
  </si>
  <si>
    <t>ggrijalba@biskyteam.com</t>
  </si>
  <si>
    <t>LinkeIn Gorka Grijalba</t>
  </si>
  <si>
    <t>Anne Cuevas Molinos</t>
  </si>
  <si>
    <t>79077231B</t>
  </si>
  <si>
    <t>annecuevas2015@gmail.com</t>
  </si>
  <si>
    <t>acuevas015@ikasle.ehu.eus</t>
  </si>
  <si>
    <t>acuevas@biskyteam.com</t>
  </si>
  <si>
    <t>LinkedIn Anne Cuevas</t>
  </si>
  <si>
    <t>Adair Gondan Alonso</t>
  </si>
  <si>
    <t>22762901P</t>
  </si>
  <si>
    <t>adairyves@gmail.com</t>
  </si>
  <si>
    <t>agondan001@ikasle.ehu.eus</t>
  </si>
  <si>
    <t>agondan@biskyteam.com</t>
  </si>
  <si>
    <t>Grado en Ingeniería Informática de Gestión y Sistemas de Información</t>
  </si>
  <si>
    <t>LinkedIn Adair Gondan</t>
  </si>
  <si>
    <t>Eneko González Hernández</t>
  </si>
  <si>
    <t>79115862W</t>
  </si>
  <si>
    <t>enekogonzalez73@gmail.com</t>
  </si>
  <si>
    <t>egonzalez194@ikasle.ehu.eus</t>
  </si>
  <si>
    <t>egonzalez@biskyteam.com</t>
  </si>
  <si>
    <t>LinkedIn Eneko González</t>
  </si>
  <si>
    <t>Leire Garcia Goyoaga</t>
  </si>
  <si>
    <t>79226193W</t>
  </si>
  <si>
    <t>leiregarciagoyoaga@gmail.com</t>
  </si>
  <si>
    <t>lgarcia246@ikasle.ehu.eus</t>
  </si>
  <si>
    <t>lgarcia@biskyteam.com</t>
  </si>
  <si>
    <t>Grado en Ingeniería Electrónica</t>
  </si>
  <si>
    <t>Grado en Física</t>
  </si>
  <si>
    <t>LinkedIn Leire Garcia</t>
  </si>
  <si>
    <t>Carla Rae Piercey Gonzalez</t>
  </si>
  <si>
    <t>79295727F</t>
  </si>
  <si>
    <t>carlaraepiercey@gmail.com</t>
  </si>
  <si>
    <t>cpiercey001@ikasle.ehu.eus</t>
  </si>
  <si>
    <t>cpiercey@biskyteam.com</t>
  </si>
  <si>
    <t>Linkedin Carla Piercey</t>
  </si>
  <si>
    <t>Ander Corral Marauri</t>
  </si>
  <si>
    <t>79176512R</t>
  </si>
  <si>
    <t>andercoma77@gmail.com</t>
  </si>
  <si>
    <t>acorral029@ikasle.ehu.eus</t>
  </si>
  <si>
    <t>acorral@biskyteam.com</t>
  </si>
  <si>
    <t>LinkedIn Ander Corral</t>
  </si>
  <si>
    <t>Maider Tejada Ruiz de Alegría</t>
  </si>
  <si>
    <t>72850433A</t>
  </si>
  <si>
    <t>maidertr@gmail.com</t>
  </si>
  <si>
    <t>mtejada003@ikasle.ehu.eus</t>
  </si>
  <si>
    <t>mtejada@biskyteam.com</t>
  </si>
  <si>
    <t>LinkedIn Maider Tejada</t>
  </si>
  <si>
    <t xml:space="preserve">Nerea Garmendia López de Robles </t>
  </si>
  <si>
    <t>53983623R</t>
  </si>
  <si>
    <t>nereagldr@gmail.com</t>
  </si>
  <si>
    <t>ngarmendia022@ikasle.ehu.eus</t>
  </si>
  <si>
    <t>ngarmendia@biskyteam.com</t>
  </si>
  <si>
    <t>LinkedIn Nerea Garmendia</t>
  </si>
  <si>
    <t>Goizane Castillo Aranaga</t>
  </si>
  <si>
    <t>79399407A</t>
  </si>
  <si>
    <t>gcastillo008@ikasle.ehu.eus</t>
  </si>
  <si>
    <t>gcastillo@biskyteam.com</t>
  </si>
  <si>
    <t>LinkedIn Goizane Castillo</t>
  </si>
  <si>
    <t>Omar Alonso Quinto</t>
  </si>
  <si>
    <t>omarqll987@gmail.com</t>
  </si>
  <si>
    <t>oquinto001@ikasle.ehu.eus</t>
  </si>
  <si>
    <t>oalonso@biskyteam.com</t>
  </si>
  <si>
    <t>Grado en Ingeniería en Tecnología de Telecomunicación</t>
  </si>
  <si>
    <t>LinkedIn Omar Alonso</t>
  </si>
  <si>
    <t>Sin Rol</t>
  </si>
  <si>
    <t>Markel Corchado Barbero</t>
  </si>
  <si>
    <t>45949167C</t>
  </si>
  <si>
    <t>corchadomarkel@gmail.com</t>
  </si>
  <si>
    <t>mcorchado002@ikasle.ehu.eus</t>
  </si>
  <si>
    <t>mcorchado@biskyteam.com</t>
  </si>
  <si>
    <t>LinkedIn Markel Corchado</t>
  </si>
  <si>
    <t xml:space="preserve">Jon Ander Sánchez Hernández </t>
  </si>
  <si>
    <t>16095694H</t>
  </si>
  <si>
    <t>jonander_03@hotmail.com</t>
  </si>
  <si>
    <t>jsanchez158@ikasle.ehu.eus</t>
  </si>
  <si>
    <t>jasanchez@biskyteam.com</t>
  </si>
  <si>
    <t>LinkedIn Jon Ander Sánchez</t>
  </si>
  <si>
    <t>Raúl Marcos Sáenz del Burgo</t>
  </si>
  <si>
    <t>79230929T</t>
  </si>
  <si>
    <t>raul.msdb@gmail.com</t>
  </si>
  <si>
    <t>rmarcos010@ikasle.ehu.eus</t>
  </si>
  <si>
    <t>rmsaez@biskyteam.com</t>
  </si>
  <si>
    <t>Grado en ingeniería en Tecnología Industrial</t>
  </si>
  <si>
    <t>LinkedIn Raúl Marcos Sáenz</t>
  </si>
  <si>
    <t>Asier López Barrio</t>
  </si>
  <si>
    <t>79046350L</t>
  </si>
  <si>
    <t>asier.lopez454@gmail.com</t>
  </si>
  <si>
    <t>alopez572@ikasle.ehu.eus</t>
  </si>
  <si>
    <t>alopez@biskyteam.com</t>
  </si>
  <si>
    <t>LinkedIn Asier López</t>
  </si>
  <si>
    <t>Fabián Bedia García</t>
  </si>
  <si>
    <t>54472915Z</t>
  </si>
  <si>
    <t>fabianbedia06@gmail.com</t>
  </si>
  <si>
    <t>fbedia001@ikasle.ehu.eus</t>
  </si>
  <si>
    <t>fbedia@biskyteam.com</t>
  </si>
  <si>
    <t>LinkedIn Fabián Bedia</t>
  </si>
  <si>
    <t>Hernán Marcos Serna</t>
  </si>
  <si>
    <t>79457020R</t>
  </si>
  <si>
    <t>hernanmarcosserna@gmail.com</t>
  </si>
  <si>
    <t>hmarcos005@ikasle.ehu.eus</t>
  </si>
  <si>
    <t>hmarcos@biskyteam.com</t>
  </si>
  <si>
    <t>LinkedIn Hernán Marcos</t>
  </si>
  <si>
    <t>Ivan Lorenzo Romero</t>
  </si>
  <si>
    <t>79131754R</t>
  </si>
  <si>
    <t>lorenzoromeroivan@gmail.com</t>
  </si>
  <si>
    <t>ilorenzo017@ikasle.ehu.eus</t>
  </si>
  <si>
    <t>ilorenzo@biskyteam.com</t>
  </si>
  <si>
    <t>LinkedIn Iván lorenzo</t>
  </si>
  <si>
    <t>Jose Andrea Martinez Invernizzi</t>
  </si>
  <si>
    <t>48770059P</t>
  </si>
  <si>
    <t>pjami2005@gmail.com</t>
  </si>
  <si>
    <t>jmartinez312@ikasle.ehu.eus</t>
  </si>
  <si>
    <t>jmartinez@biskyteam.com</t>
  </si>
  <si>
    <t>LinkedIn Jose Andrea Martinez</t>
  </si>
  <si>
    <t>Maialen Davis Santiago</t>
  </si>
  <si>
    <t>48680825Z</t>
  </si>
  <si>
    <t>maialends42@gmail.com</t>
  </si>
  <si>
    <t>mdavis002@ikasle.ehu.eus</t>
  </si>
  <si>
    <t>mdavis@biskyteam.com</t>
  </si>
  <si>
    <t>LinkedIn Maialen Davis</t>
  </si>
  <si>
    <t>Markel Lacabe Durana</t>
  </si>
  <si>
    <t>79437271D</t>
  </si>
  <si>
    <t>markel.lacabe1@gmail.com</t>
  </si>
  <si>
    <t>mlacabe002@ikasle.ehu.eus</t>
  </si>
  <si>
    <t>mlacabe@biskyteam.com</t>
  </si>
  <si>
    <t>Doble Grado en Física e Ingeniería Electrónica</t>
  </si>
  <si>
    <t>LinkedIn Markel Lacabe</t>
  </si>
  <si>
    <t>Marta Gómez Fueyo</t>
  </si>
  <si>
    <t>32729421F</t>
  </si>
  <si>
    <t>mgomez256@ikasle.ehu.eus</t>
  </si>
  <si>
    <t>mgomez@biskyteam.com</t>
  </si>
  <si>
    <t>Máster en Ingeniería Mecánica</t>
  </si>
  <si>
    <t>linkedIn Marta Gómez</t>
  </si>
  <si>
    <t>Uxue Martitegi Elgezabal</t>
  </si>
  <si>
    <t>16091889P</t>
  </si>
  <si>
    <t>uxuemartiel@gmail.com</t>
  </si>
  <si>
    <t>umartitegi001@ikasle.ehu.eus</t>
  </si>
  <si>
    <t>umartitegi@biskyteam.com</t>
  </si>
  <si>
    <t>LinkedIn Uxue Martitegi</t>
  </si>
  <si>
    <t>Victor Llosa Lorenzo</t>
  </si>
  <si>
    <t>79137867L</t>
  </si>
  <si>
    <t>victorllosa06@gmail.com</t>
  </si>
  <si>
    <t>vllosa001@ikasle.ehu.eus</t>
  </si>
  <si>
    <t>vllosa@biskyteam.com</t>
  </si>
  <si>
    <t>LinkedIn Victor Llosa</t>
  </si>
  <si>
    <t>Jon Urizar Duñabeitia</t>
  </si>
  <si>
    <t>79365073P</t>
  </si>
  <si>
    <t>jon.u.dunabeitia@gmail.com</t>
  </si>
  <si>
    <t>jurizar005@ikasle.ehu.eus</t>
  </si>
  <si>
    <t>jurizar@biskyteam.com</t>
  </si>
  <si>
    <t>LinkedIn Jon Urizar</t>
  </si>
  <si>
    <t>Martina Olmos Murcia</t>
  </si>
  <si>
    <t>23849328F</t>
  </si>
  <si>
    <t>martinaolmosmurcia@gmail.com</t>
  </si>
  <si>
    <t>molmos004@ikasle.ehu.eus</t>
  </si>
  <si>
    <t>molmos@biskyteam.com</t>
  </si>
  <si>
    <t>Grado en Ingeniería Química</t>
  </si>
  <si>
    <t>LinkedIn Martina Olmos</t>
  </si>
  <si>
    <t>Mikel Laclau</t>
  </si>
  <si>
    <t>45993413Z</t>
  </si>
  <si>
    <t>laclaumikel@gmail.com</t>
  </si>
  <si>
    <t>mlaclau001@ikasle.ehu.eus</t>
  </si>
  <si>
    <t>mlaclau@biskyteam.com</t>
  </si>
  <si>
    <t>LinkedIn Mikel Laclau</t>
  </si>
  <si>
    <t>Telmo Ubieta Urrutia</t>
  </si>
  <si>
    <t>44568788D</t>
  </si>
  <si>
    <t>telmoubietaurrutia@gmail.com</t>
  </si>
  <si>
    <t>tubieta001@ikasle.ehu.eus</t>
  </si>
  <si>
    <t>tubieta@biskyteam.com</t>
  </si>
  <si>
    <t>LinkedIn Telmo Urrieta</t>
  </si>
  <si>
    <t>Leire Aresti Guijo</t>
  </si>
  <si>
    <t>79178074E</t>
  </si>
  <si>
    <t>arestiguijoleire@gmail.com</t>
  </si>
  <si>
    <t>laresti005@ikasle.ehu.eus</t>
  </si>
  <si>
    <t>laresti@biskyteam.com</t>
  </si>
  <si>
    <t>LinkedIn Leire Aresti</t>
  </si>
  <si>
    <t>Alexander Perez Garcia</t>
  </si>
  <si>
    <t>79003078X</t>
  </si>
  <si>
    <t>alexpg198297@gmail.com</t>
  </si>
  <si>
    <t>aperez563@ikasle.ehu.eus</t>
  </si>
  <si>
    <t>aperez@biskyteam.com</t>
  </si>
  <si>
    <t>LinkedIn Alexander Pérez</t>
  </si>
  <si>
    <t>Leire Gómez Asporosa</t>
  </si>
  <si>
    <t>79067556L</t>
  </si>
  <si>
    <t>leiregoas@gmail.com</t>
  </si>
  <si>
    <t>lgomez107@ikasle.ehu.eus</t>
  </si>
  <si>
    <t>lgomez@biskyteam.com</t>
  </si>
  <si>
    <t>LinkedIn Leire Gómez</t>
  </si>
  <si>
    <t>EQUIPO2</t>
  </si>
  <si>
    <t xml:space="preserve">CONTRATO DE COLABORACIÓN </t>
  </si>
  <si>
    <t>ACCESO OneDrive</t>
  </si>
  <si>
    <t>ACCESO Ansys</t>
  </si>
  <si>
    <t>Marta Guinea García</t>
  </si>
  <si>
    <t>Colaborador</t>
  </si>
  <si>
    <t>79008884C</t>
  </si>
  <si>
    <t xml:space="preserve"> </t>
  </si>
  <si>
    <t>martaguinea01@gmail.com</t>
  </si>
  <si>
    <t>mguinea@biskyteam.com</t>
  </si>
  <si>
    <t>Grado en ingenieria de la organización</t>
  </si>
  <si>
    <t>LinkedIn Marta Guinea</t>
  </si>
  <si>
    <t>Aitor Barrena Blanco</t>
  </si>
  <si>
    <t>16094017C</t>
  </si>
  <si>
    <t>aitorba2@gmail.com</t>
  </si>
  <si>
    <t>abarrena022@ikasle.ehu.eus</t>
  </si>
  <si>
    <t>abarrena@biskyteam.com</t>
  </si>
  <si>
    <t>Doble grado en mecatrónica</t>
  </si>
  <si>
    <t>LinkdeIn Aitor Barrena</t>
  </si>
  <si>
    <t>Antton Castresana Zorroza</t>
  </si>
  <si>
    <t>79187856Y</t>
  </si>
  <si>
    <t>Flight Control &amp; Simulation</t>
  </si>
  <si>
    <t>Manttoncastresana@gmail.com</t>
  </si>
  <si>
    <t>acastresana008@ikasle.ehu.eus</t>
  </si>
  <si>
    <t>acastresana@biskyteam.com</t>
  </si>
  <si>
    <t>669 331 984</t>
  </si>
  <si>
    <t>Grado en física</t>
  </si>
  <si>
    <t>Leire Casas Camacho</t>
  </si>
  <si>
    <t>79180077R</t>
  </si>
  <si>
    <t>leirecasascamacho@gmail.com</t>
  </si>
  <si>
    <t>lcasas007@ikasle.ehu.eus</t>
  </si>
  <si>
    <t>Grdo en ingenieria Química</t>
  </si>
  <si>
    <t>Marco Nicolas Garañeda Perez</t>
  </si>
  <si>
    <t>POR DEFINIR</t>
  </si>
  <si>
    <t>79178297S</t>
  </si>
  <si>
    <t>Aerodynamics &amp; Recovery</t>
  </si>
  <si>
    <t>marcogaraneda01@gmail.com</t>
  </si>
  <si>
    <t>mgaraneda001@ikasle.ehu.eus</t>
  </si>
  <si>
    <t>mnicolas@biskyteam.com</t>
  </si>
  <si>
    <t>Máster en Ciencia y Tecnología Espacial</t>
  </si>
  <si>
    <t>Borja Jimeno Soto</t>
  </si>
  <si>
    <t>18074126J</t>
  </si>
  <si>
    <t>borjiso@gmail.com</t>
  </si>
  <si>
    <t>bjimeno@biskyteam.com</t>
  </si>
  <si>
    <t>Grado en Ingeniería Informática</t>
  </si>
  <si>
    <t>LinkedIn Borja</t>
  </si>
  <si>
    <t>Diego Yannick Fonseca Alvarez</t>
  </si>
  <si>
    <t>72103251E</t>
  </si>
  <si>
    <t>diru1618@gmail.com</t>
  </si>
  <si>
    <t>dfonseca002@ikasle.ehu.eus</t>
  </si>
  <si>
    <t>dfonseca@biskyteam.com</t>
  </si>
  <si>
    <t>LinkedIn Diego Fonseca</t>
  </si>
  <si>
    <t>Markel Perona Guerra</t>
  </si>
  <si>
    <t>79225903B</t>
  </si>
  <si>
    <t>marpergue@gmail.com</t>
  </si>
  <si>
    <t>mperona001@ikasle.ehu.eus</t>
  </si>
  <si>
    <t>mperona@biskyteam.com</t>
  </si>
  <si>
    <t>LinkedIn Markel Perona</t>
  </si>
  <si>
    <t>Imanol Martínez Macho</t>
  </si>
  <si>
    <t>46368446D</t>
  </si>
  <si>
    <t>imanolm.upv@gmail.com</t>
  </si>
  <si>
    <t>imartinez303@ikasle.ehu.eus</t>
  </si>
  <si>
    <t>immartinez@biskyteam.com</t>
  </si>
  <si>
    <t>LinkedIn Imanol Martinez</t>
  </si>
  <si>
    <t>Irune Hoz Bregel</t>
  </si>
  <si>
    <t>79050094Z</t>
  </si>
  <si>
    <t>irunehoz@gmail.com</t>
  </si>
  <si>
    <t>ihoz001@ikasle.ehu.eus</t>
  </si>
  <si>
    <t>Ihoz@biskyteam.com</t>
  </si>
  <si>
    <t>Máster en Ingeniería de Telecomunicación</t>
  </si>
  <si>
    <t>LinkedIn Irune Hoz Bregel</t>
  </si>
  <si>
    <t>Roberto Carmona Goicoechea</t>
  </si>
  <si>
    <t>46367692Z</t>
  </si>
  <si>
    <t>robertocarmona2000@gmail.com</t>
  </si>
  <si>
    <t>rcarmona006@ikasle.ehu.eus</t>
  </si>
  <si>
    <t>rcarmona@biskyteam.com</t>
  </si>
  <si>
    <t>LinkedIn Roberto Carmona</t>
  </si>
  <si>
    <t>Bruno Yera González</t>
  </si>
  <si>
    <t>16098995F</t>
  </si>
  <si>
    <t>brunoygbs@gmail.com</t>
  </si>
  <si>
    <t>byera001@ikasle.ehu.eus</t>
  </si>
  <si>
    <t>byera@biskyteam.com</t>
  </si>
  <si>
    <t>LinkedIn Bruno Yera</t>
  </si>
  <si>
    <t>María López Martín</t>
  </si>
  <si>
    <t>29623403R</t>
  </si>
  <si>
    <t>malomar02@gmail.com</t>
  </si>
  <si>
    <t>mlopez388@ikasle.ehu.eus</t>
  </si>
  <si>
    <t>mlopez@biskyteam.com</t>
  </si>
  <si>
    <t>Doble grado en Física y Matemáticas</t>
  </si>
  <si>
    <t>linkedIn María López</t>
  </si>
  <si>
    <t>(Todas)</t>
  </si>
  <si>
    <t>ROL</t>
  </si>
  <si>
    <t>Nº</t>
  </si>
  <si>
    <t>GENERO</t>
  </si>
  <si>
    <t>Total general</t>
  </si>
  <si>
    <t>Campo8</t>
  </si>
  <si>
    <t>Cuenta de Campo8</t>
  </si>
  <si>
    <t>Structure</t>
  </si>
  <si>
    <t>% de mujeres</t>
  </si>
  <si>
    <t>Fecha de salida del equipo</t>
  </si>
  <si>
    <t xml:space="preserve">   EQUIPO</t>
  </si>
  <si>
    <t xml:space="preserve">   EQUIPO2</t>
  </si>
  <si>
    <t>CURSO</t>
  </si>
  <si>
    <t>Empresa</t>
  </si>
  <si>
    <t>Angel Gil Elorri</t>
  </si>
  <si>
    <t>Inicio</t>
  </si>
  <si>
    <t>78995069M</t>
  </si>
  <si>
    <t>agil.skyteam@gmail.com</t>
  </si>
  <si>
    <t>agil@biskyteam.com</t>
  </si>
  <si>
    <t>609 12 60 71</t>
  </si>
  <si>
    <t>Grado en Tecnología en Ingeniería Industrial y Máster Universitario en Ingeniería en Tecnología Industrial</t>
  </si>
  <si>
    <t>Liftra</t>
  </si>
  <si>
    <t>Eduardo Sevillano Caraballo</t>
  </si>
  <si>
    <t>16096446B</t>
  </si>
  <si>
    <t>esevillano.skyteam@gmail.com</t>
  </si>
  <si>
    <t>esevillano@biskyteam.com</t>
  </si>
  <si>
    <t>646 45 97 54</t>
  </si>
  <si>
    <t>Grado en Ingeniería de Telecomunicaciones y Master de sistemas electrónicos avanzados</t>
  </si>
  <si>
    <t>SoCe</t>
  </si>
  <si>
    <t>Sofía Llorente García</t>
  </si>
  <si>
    <t>72848561V</t>
  </si>
  <si>
    <t>sofiallorentegarcia@gmail.com</t>
  </si>
  <si>
    <t>sllorente@biskyteam.com</t>
  </si>
  <si>
    <t>Grado en ingeniería en tecnología industrial</t>
  </si>
  <si>
    <t>www.linkedin.com/in/sofia-llorente</t>
  </si>
  <si>
    <t>Daniel Lázaro Vega</t>
  </si>
  <si>
    <t>71564210D</t>
  </si>
  <si>
    <t>estruc2biskyteam@gmail.com</t>
  </si>
  <si>
    <t>dlazaro.skyteam@gmail.com</t>
  </si>
  <si>
    <t>dlazaro@biskyteam.com</t>
  </si>
  <si>
    <t>609 32 55 53</t>
  </si>
  <si>
    <t>Master Universitario en Ingeniería Industrial</t>
  </si>
  <si>
    <t>Roque Pradas</t>
  </si>
  <si>
    <t>rpradas@biskyteam.com</t>
  </si>
  <si>
    <t>GRado en ingeniería Mecánica</t>
  </si>
  <si>
    <t>Pefipresa</t>
  </si>
  <si>
    <t>Joseba Peña</t>
  </si>
  <si>
    <t>josebapena14@gmail.com</t>
  </si>
  <si>
    <t>jpena@biskyteam.com</t>
  </si>
  <si>
    <t>Biotecnología</t>
  </si>
  <si>
    <t>Guillermo Ozaita</t>
  </si>
  <si>
    <t>gozaita@biskyteam</t>
  </si>
  <si>
    <t>Ingeniería de Telecomunicaciones</t>
  </si>
  <si>
    <t>Ingeteam</t>
  </si>
  <si>
    <t>Pablo Bedialauneta Rodriguez</t>
  </si>
  <si>
    <t>avionics8biskyteam@gmail.com</t>
  </si>
  <si>
    <t>pbedialauneta@biskyteam.com</t>
  </si>
  <si>
    <t>Doble Grado Física e Ingeniería Electrónica</t>
  </si>
  <si>
    <t>Airbus</t>
  </si>
  <si>
    <t>https://www.linkedin.com/in/pablo-bedialauneta-rodríguez-37141399/</t>
  </si>
  <si>
    <t>Aitor Fernández</t>
  </si>
  <si>
    <t>78950074K</t>
  </si>
  <si>
    <t>aitor.fdez.gar@gmail.com</t>
  </si>
  <si>
    <t>afernandez@biskyteam.com</t>
  </si>
  <si>
    <t>Doble grado: Ingeniería electrónica y Física</t>
  </si>
  <si>
    <t>Andreea Stanciu</t>
  </si>
  <si>
    <t>Y2111680H</t>
  </si>
  <si>
    <t>avionics2biskyteam@gmail.com</t>
  </si>
  <si>
    <t>andreeastanciu939@gmail.com</t>
  </si>
  <si>
    <t>astanciu@biskyteam.com</t>
  </si>
  <si>
    <t>Satlantis</t>
  </si>
  <si>
    <t>Laura Burgos Sánchez</t>
  </si>
  <si>
    <t>79124871H</t>
  </si>
  <si>
    <t>avionics1biskyteam@gmail.com</t>
  </si>
  <si>
    <t>lburgos.skyteam@gmail.com</t>
  </si>
  <si>
    <t>lburgos@biskyteam.com</t>
  </si>
  <si>
    <t>Máster Universitario en Ingeniería de Telecomunicación</t>
  </si>
  <si>
    <t>Grado en Ingeniería de Telecomunicación</t>
  </si>
  <si>
    <t>Alan García Juan</t>
  </si>
  <si>
    <t>78939053V</t>
  </si>
  <si>
    <t>prop2biskyteam@gmail.com</t>
  </si>
  <si>
    <t>alangj94@gmail.com</t>
  </si>
  <si>
    <t>agarcia@biskyteam.com</t>
  </si>
  <si>
    <t>Máster en ciencia y tecnología espacial</t>
  </si>
  <si>
    <t>https://www.linkedin.com/in/alan-garcia-juan/</t>
  </si>
  <si>
    <t>Sofía Garaizar González de Echavarri</t>
  </si>
  <si>
    <t>16094316C</t>
  </si>
  <si>
    <t>prop1biskyteam@gmail.com</t>
  </si>
  <si>
    <t>sofigaraizar@gmail.com</t>
  </si>
  <si>
    <t>sgaraizar@biskyteam.com</t>
  </si>
  <si>
    <t>Máster Universitario en Ingeniería Industrial</t>
  </si>
  <si>
    <t>Therma Industri</t>
  </si>
  <si>
    <t>https://www.linkedin.com/in/sof%C3%ADa-garaizar-gonz%C3%A1lez-de-echavarri-949b06184/</t>
  </si>
  <si>
    <t>Iñaki Salaverria Jimenez</t>
  </si>
  <si>
    <t>45195058N</t>
  </si>
  <si>
    <t>prop5biskyteam@gmail.com</t>
  </si>
  <si>
    <t>salaverria97@gmail.com</t>
  </si>
  <si>
    <t>isalaverria@biskyteam.com</t>
  </si>
  <si>
    <t>Master en Ciencia y Tecnología Espacial</t>
  </si>
  <si>
    <t>www.linkedin.com/in/iñaki-salaverria-jimenez</t>
  </si>
  <si>
    <t>Alexander Díaz Castillo</t>
  </si>
  <si>
    <t>79137382V</t>
  </si>
  <si>
    <t>prop4biskyteam@gmail.com</t>
  </si>
  <si>
    <t>alex.di4z64@gmail.com</t>
  </si>
  <si>
    <t>adiaz@biskyteam.com</t>
  </si>
  <si>
    <t>Idom</t>
  </si>
  <si>
    <t>https://www.linkedin.com/in/alexander-díaz-castillo/</t>
  </si>
  <si>
    <t>Josu García Morales</t>
  </si>
  <si>
    <t>79009788G</t>
  </si>
  <si>
    <t>prop3biskyteam@gmail.com</t>
  </si>
  <si>
    <t>josugarcia93@gmail.com</t>
  </si>
  <si>
    <t>jgarcia@biskyteam.com</t>
  </si>
  <si>
    <t>Bionic Surface technoogies GmbH</t>
  </si>
  <si>
    <t>Jorge Múgica</t>
  </si>
  <si>
    <t>79049614V</t>
  </si>
  <si>
    <t>control6biskyteam@gmail.com</t>
  </si>
  <si>
    <t>Jorge.Mugica24@iesunamuno.net</t>
  </si>
  <si>
    <t>jmugica@biskyteam.com</t>
  </si>
  <si>
    <t>Máster Universitario en Ingeniería en Tecnología Industrial // Grado en Física</t>
  </si>
  <si>
    <t>Sener</t>
  </si>
  <si>
    <t>Ignacio Manzanares Domínguez</t>
  </si>
  <si>
    <t>XX/10/2020</t>
  </si>
  <si>
    <t>79005789F</t>
  </si>
  <si>
    <t>control3biskyteam@gmail.com</t>
  </si>
  <si>
    <t>im20020@gmail.com</t>
  </si>
  <si>
    <t>imanzanares@biskyteam.com</t>
  </si>
  <si>
    <t>Julen Urrutxua Martinez</t>
  </si>
  <si>
    <t>79127174K</t>
  </si>
  <si>
    <t>control2biskyteam@gmail.com</t>
  </si>
  <si>
    <t>julenu96@gmail.com</t>
  </si>
  <si>
    <t>jurrutxua@biskyteam.com</t>
  </si>
  <si>
    <t>Grado en Ingeniería en Tecnología Industrial y Máster Universitario en Ingeniería en Tecnología Industrial</t>
  </si>
  <si>
    <t>Pablo Díez Arrizabalaga</t>
  </si>
  <si>
    <t>02/25/2019</t>
  </si>
  <si>
    <t>44349167S</t>
  </si>
  <si>
    <t>control5biskyteam@gmail.com</t>
  </si>
  <si>
    <t>pdarri97@gmail.com</t>
  </si>
  <si>
    <t>pdiez@biskyteam.com</t>
  </si>
  <si>
    <t>BCAM</t>
  </si>
  <si>
    <t>https://www.linkedin.com/in/pablo-d%C3%ADez-arrizabalaga-0b092b160/</t>
  </si>
  <si>
    <t>Javier Ignacio Garibi Martín</t>
  </si>
  <si>
    <t>x/09/2020</t>
  </si>
  <si>
    <t>79045382V</t>
  </si>
  <si>
    <t>aero3biskyteam@gmail.com</t>
  </si>
  <si>
    <t>jgaribi.skyteam@gmail.com</t>
  </si>
  <si>
    <t>jgaribi@biskyteam.com</t>
  </si>
  <si>
    <t xml:space="preserve">  </t>
  </si>
  <si>
    <t>Elene Zaldua del Olmo</t>
  </si>
  <si>
    <t>72507125Q</t>
  </si>
  <si>
    <t>aero4biskyteam@gmail.com</t>
  </si>
  <si>
    <t>elenezaldua@gmail.com</t>
  </si>
  <si>
    <t>ezaldua@biskyteam.com</t>
  </si>
  <si>
    <t>Laura Unamuno Barbolla</t>
  </si>
  <si>
    <t>79003781T</t>
  </si>
  <si>
    <t>estruc1biskyteam@gmail.com</t>
  </si>
  <si>
    <t>laura.unamuno.lu@gmail.com</t>
  </si>
  <si>
    <t>lunamuno@biskyteam.com</t>
  </si>
  <si>
    <t>Ingeniería mecánica</t>
  </si>
  <si>
    <t>Lightyear</t>
  </si>
  <si>
    <t>https://www.linkedin.com/in/laura-unamuno-barbolla-737020173/</t>
  </si>
  <si>
    <t>Alex Cobo Zarzuelo</t>
  </si>
  <si>
    <t>72554181Z</t>
  </si>
  <si>
    <t>aero6biskyteam@gmail.com</t>
  </si>
  <si>
    <t>cobo.aleex@gmail.com</t>
  </si>
  <si>
    <t>acobo@biskyteam.com</t>
  </si>
  <si>
    <t>Doble grado: Física e Ingeniería electrónica</t>
  </si>
  <si>
    <t>Asier Cazalis Crespo</t>
  </si>
  <si>
    <t>72592194P</t>
  </si>
  <si>
    <t>asiercazalis152@gmail.com</t>
  </si>
  <si>
    <t>Rubén Isla Pérez</t>
  </si>
  <si>
    <t>16106034P</t>
  </si>
  <si>
    <t>estruc6biskyteam@gmail.com</t>
  </si>
  <si>
    <t>rubenis999@gmail.com</t>
  </si>
  <si>
    <t>rubenisla@biskyteam.com</t>
  </si>
  <si>
    <t>Grado en Ingeniería en tecnología Industrial</t>
  </si>
  <si>
    <t>ITP Aero</t>
  </si>
  <si>
    <t>Jon Vilanova San Roman</t>
  </si>
  <si>
    <t>72597745Q</t>
  </si>
  <si>
    <t>bym4biskyteam@gmail.com</t>
  </si>
  <si>
    <t>jjonvila@gmail.com</t>
  </si>
  <si>
    <t>jvilanova@biskyteam.com</t>
  </si>
  <si>
    <t>A.D.E</t>
  </si>
  <si>
    <t>Borja Cordero Aranguren</t>
  </si>
  <si>
    <t>16096368W</t>
  </si>
  <si>
    <t>aero1biskyteam@gmail.com</t>
  </si>
  <si>
    <t>bcordero.skyteam@gmail.com</t>
  </si>
  <si>
    <t>bcordero@biskyteam.com</t>
  </si>
  <si>
    <t>Master Universitario en Ingeniería Industrial y Aeronáutico</t>
  </si>
  <si>
    <t>Ignacio Mancha de Pablos</t>
  </si>
  <si>
    <t>79137300G</t>
  </si>
  <si>
    <t>aero2biskyteam@gmail.com</t>
  </si>
  <si>
    <t>nmancha.skyteam@gmail.com</t>
  </si>
  <si>
    <t>nmancha@biskyteam.com</t>
  </si>
  <si>
    <t>https://www.linkedin.com/in/ignacio-mancha-de-pablos-32a00a190</t>
  </si>
  <si>
    <t>Ugaitz Marcos Cayero</t>
  </si>
  <si>
    <t>16081493P</t>
  </si>
  <si>
    <t>aero7biskyteam@gmail.com</t>
  </si>
  <si>
    <t>ugi28_9@hotmail.com</t>
  </si>
  <si>
    <t>ugaitzmarcos@biskyteam.com</t>
  </si>
  <si>
    <t>Aistech Space</t>
  </si>
  <si>
    <t>https://www.linkedin.com/in/ugaitz-marcos-cayero-7352411b2/</t>
  </si>
  <si>
    <t>Yolanda Mugica Colilles</t>
  </si>
  <si>
    <t>79132985J</t>
  </si>
  <si>
    <t>aero5biskyteam@gmail.com</t>
  </si>
  <si>
    <t>yoli2nugika@gmail.com</t>
  </si>
  <si>
    <t>ymugica@biskyteam.com</t>
  </si>
  <si>
    <t>Mikel Montoya Fernández</t>
  </si>
  <si>
    <t>72848428E</t>
  </si>
  <si>
    <t>mikelmontoyafdz@gmail.com</t>
  </si>
  <si>
    <t>mmontoya@biskyteam.com</t>
  </si>
  <si>
    <t>IDOM</t>
  </si>
  <si>
    <t>https://www.linkedin.com/in/mikel-montoya-fernandez-942853158/</t>
  </si>
  <si>
    <t>Ignacio Muñoyerro Barriocanal</t>
  </si>
  <si>
    <t>16098908N</t>
  </si>
  <si>
    <t>prop9biskyteam@gmail.com</t>
  </si>
  <si>
    <t>nachomunoyerro@gmail.com</t>
  </si>
  <si>
    <t>ignaciomunoyerro@biskyteam.com</t>
  </si>
  <si>
    <t>https://www.linkedin.com/in/ignacio-muñoyerro-barriocanal-672724197</t>
  </si>
  <si>
    <t>Gabriel Santiago</t>
  </si>
  <si>
    <t>79226195G</t>
  </si>
  <si>
    <t>bym3biskyteam@gmail.com</t>
  </si>
  <si>
    <t>santiagogabriel47@gmail.com</t>
  </si>
  <si>
    <t>gabrielsantiago@biskyteam.com</t>
  </si>
  <si>
    <t>Ander Corral Mielgo</t>
  </si>
  <si>
    <t>x/06/2021</t>
  </si>
  <si>
    <t>79054488S</t>
  </si>
  <si>
    <t xml:space="preserve">ancorralm@gmail.com </t>
  </si>
  <si>
    <t>andercorral26@gmail.com</t>
  </si>
  <si>
    <t>https://es.linkedin.com/in/ander-corral-mielgo-862077198</t>
  </si>
  <si>
    <t>Kepa Martínez San Martín</t>
  </si>
  <si>
    <t>79174727X</t>
  </si>
  <si>
    <t>kepam99@gmail.com</t>
  </si>
  <si>
    <t>kepam9999@gmail.com</t>
  </si>
  <si>
    <t>kmartinez@biskyteam.com</t>
  </si>
  <si>
    <t>Rebeca Álvarez Martínez</t>
  </si>
  <si>
    <t>x/09/2021</t>
  </si>
  <si>
    <t>71464597D</t>
  </si>
  <si>
    <t>rebeca.alvarez3@gmail.com</t>
  </si>
  <si>
    <t>ralvam03@gmail.com</t>
  </si>
  <si>
    <t>ralvarez@biskyteam.com</t>
  </si>
  <si>
    <t xml:space="preserve">Grado en Ingeniería Aeroespacial </t>
  </si>
  <si>
    <t>Aritz Elgezabal Núñez</t>
  </si>
  <si>
    <t>22755467A</t>
  </si>
  <si>
    <t>avionics6biskyteam@gmail.com</t>
  </si>
  <si>
    <t>aelguezabal010@gmail.com</t>
  </si>
  <si>
    <t>aelgezabal@biskyteam.com</t>
  </si>
  <si>
    <t>Grado en ingeniería Electrónica Industrial y Automática</t>
  </si>
  <si>
    <t>https://www.linkedin.com/in/aritzelge</t>
  </si>
  <si>
    <t>Cristian Fernandez</t>
  </si>
  <si>
    <t>79009864B</t>
  </si>
  <si>
    <t>avionics5biskyteam@gmail.com</t>
  </si>
  <si>
    <t>cristian.fdz.and@gmail.com</t>
  </si>
  <si>
    <t>cfernandez@biskyteam.com</t>
  </si>
  <si>
    <t>Álvaro Crespo Rodríguez</t>
  </si>
  <si>
    <t>79064597G</t>
  </si>
  <si>
    <t>control7biskyteam@gmail.com</t>
  </si>
  <si>
    <t>alvarocrespo97ehu@gmail.com</t>
  </si>
  <si>
    <t>alvarocrespo@biskyteam.com</t>
  </si>
  <si>
    <t>Máster Universitario en Ingeniería en Industrial</t>
  </si>
  <si>
    <t>Pablo Rodriguez Ovalle</t>
  </si>
  <si>
    <t>71531808Z</t>
  </si>
  <si>
    <t>pablorodriguezovalle@gmail.com</t>
  </si>
  <si>
    <t>prodriguez@biskyteam.com</t>
  </si>
  <si>
    <t>Grado en Ingeniería de Energías Renovables, Ingeniería Eléctrica y Electrónica</t>
  </si>
  <si>
    <t>Maria Carrillo Barrenechea</t>
  </si>
  <si>
    <t>72593813V</t>
  </si>
  <si>
    <t>TEAM LEADER</t>
  </si>
  <si>
    <t>tleaderbiskyteam@gmail.com</t>
  </si>
  <si>
    <t>mcarrillo.skyteam@gmail.com</t>
  </si>
  <si>
    <t>mcarrillo@biskyteam.com</t>
  </si>
  <si>
    <t>https://www.linkedin.com/in/maria-carrillo-barrenechea-042123115/</t>
  </si>
  <si>
    <t>Verónica Sánchez Verdecia</t>
  </si>
  <si>
    <t>79051022E</t>
  </si>
  <si>
    <t>verobisky@gmail.com</t>
  </si>
  <si>
    <t>vsanchez@biskyteam.com</t>
  </si>
  <si>
    <t>Grado en Gestión y Marketing Empresarial</t>
  </si>
  <si>
    <t>Nerea Sánchez Quiroga</t>
  </si>
  <si>
    <t>72205729N</t>
  </si>
  <si>
    <t>nereasanchez0211@gmail.com</t>
  </si>
  <si>
    <t>nsanchez@biskyteam.com</t>
  </si>
  <si>
    <t>www.linkedin.com/in/nereasanchezquiroga</t>
  </si>
  <si>
    <t>Ariana Peteiro Rubio</t>
  </si>
  <si>
    <t>44689922W</t>
  </si>
  <si>
    <t>ariana.peteiro2@gmail.com</t>
  </si>
  <si>
    <t>apeteiro@biskyteam.com</t>
  </si>
  <si>
    <t>www.linkedin.com/in/arianapeteiro</t>
  </si>
  <si>
    <t>Laura Meabe Abecia</t>
  </si>
  <si>
    <t>72833970P</t>
  </si>
  <si>
    <t>laurameabebiskyteam@gmail.com</t>
  </si>
  <si>
    <t>lmeabe@biskyteam.com</t>
  </si>
  <si>
    <t>https://www.linkedin.com/in/laurameabe/</t>
  </si>
  <si>
    <t>Mónica Marín Capper</t>
  </si>
  <si>
    <t>16105867W</t>
  </si>
  <si>
    <t>monimarincapper@gmail.com</t>
  </si>
  <si>
    <t>mmarin@biskyteam.com</t>
  </si>
  <si>
    <t>www.linkedin.com/in/monicamarincapper</t>
  </si>
  <si>
    <t>Unai Pereda Hernandez</t>
  </si>
  <si>
    <t>79005516X</t>
  </si>
  <si>
    <t>upereda5@gmail.com</t>
  </si>
  <si>
    <t>upereda@biskyteam.com</t>
  </si>
  <si>
    <t>Joseba Iparraguirre García</t>
  </si>
  <si>
    <t>79178332G</t>
  </si>
  <si>
    <t>bym1biskyteam@gmail.com</t>
  </si>
  <si>
    <t>joseba.iparraguirregarcia@gmail.com</t>
  </si>
  <si>
    <t>jiparraguirre@biskyteam.com</t>
  </si>
  <si>
    <t>Deloite</t>
  </si>
  <si>
    <t>www.linkedin.com/in/joseba-iparraguirre-garcía</t>
  </si>
  <si>
    <t>Alvaro San Juan Peñacoba</t>
  </si>
  <si>
    <t>45915631H</t>
  </si>
  <si>
    <t>bym2biskyteam@gmail.com</t>
  </si>
  <si>
    <t>alvarosanjuan123@gmail.com</t>
  </si>
  <si>
    <t>asanjuan@biskyteam.com</t>
  </si>
  <si>
    <t>Economia</t>
  </si>
  <si>
    <t>Amazon</t>
  </si>
  <si>
    <t>Juan Sebastián García Grajales</t>
  </si>
  <si>
    <t>79049153Q</t>
  </si>
  <si>
    <t>juansebgg15@gmail.com</t>
  </si>
  <si>
    <t>jsgarcia@biskyteam.com</t>
  </si>
  <si>
    <t>Andoni Zorrozua Díaz</t>
  </si>
  <si>
    <t>45364454U</t>
  </si>
  <si>
    <t>Andoni.zorrozua@gmail.com</t>
  </si>
  <si>
    <t>azorrozua@biskyteam.com</t>
  </si>
  <si>
    <t>Alvaro Suárez Sánchez</t>
  </si>
  <si>
    <t>78588697C</t>
  </si>
  <si>
    <t>alvarosrz16@gmail.com</t>
  </si>
  <si>
    <t>asuarez@biskyteam.com</t>
  </si>
  <si>
    <t>Grado en Ingeniería Electronica industrial y automática</t>
  </si>
  <si>
    <t>Roberto Varas González</t>
  </si>
  <si>
    <t>05448024Z</t>
  </si>
  <si>
    <t>varasrobertogonzalez@gmail.com</t>
  </si>
  <si>
    <t>Grado en Ingeniería Aeroespacial</t>
  </si>
  <si>
    <t>Alejandro Garcia</t>
  </si>
  <si>
    <t>70420392G</t>
  </si>
  <si>
    <t>Master en Ingeniería en Tecnología Industrial</t>
  </si>
  <si>
    <t>Ion Moya Iratxeta</t>
  </si>
  <si>
    <t>20234030X</t>
  </si>
  <si>
    <t>estruc4biskyteam@gmail.com</t>
  </si>
  <si>
    <t>imoya@biskyteam.com</t>
  </si>
  <si>
    <t>ion.moya@gmail.com</t>
  </si>
  <si>
    <t>Grado en Ingeniería mecnánica</t>
  </si>
  <si>
    <t>https://www.linkedin.com/feed/</t>
  </si>
  <si>
    <t>Ana Carolina Rojo Pinedo</t>
  </si>
  <si>
    <t>44689731H</t>
  </si>
  <si>
    <t>ana.redpinedo@gmail.com</t>
  </si>
  <si>
    <t>arojo@biskyteam.com</t>
  </si>
  <si>
    <t>https://www.linkedin.com/in/ana-carolina-rojo-pinedo-a57592144/</t>
  </si>
  <si>
    <t>Ana Luisa Ruiz Pérez</t>
  </si>
  <si>
    <t>78953902P</t>
  </si>
  <si>
    <t>ruizperezana13@gmail.com</t>
  </si>
  <si>
    <t>aruiz@biskyteam.com</t>
  </si>
  <si>
    <t>https://www.linkedin.com/in/ana-ruiz-perez-5682431a1</t>
  </si>
  <si>
    <t>Ander Hospital Gómez</t>
  </si>
  <si>
    <t>79133555P</t>
  </si>
  <si>
    <t>avionics3biskyteam@gmail.com</t>
  </si>
  <si>
    <t>hospital.ander@gmail.com</t>
  </si>
  <si>
    <t>ahospital@biskyteam.com</t>
  </si>
  <si>
    <t>Master en Ingeniería de Telecomunicación</t>
  </si>
  <si>
    <t>https://www.linkedin.com/in/ander-hospital-873411191/</t>
  </si>
  <si>
    <t>Javier Arambarri Calvo</t>
  </si>
  <si>
    <t>45892670B</t>
  </si>
  <si>
    <t>javierarambarricalvo.ehu@gmail.com</t>
  </si>
  <si>
    <t>javierarambarricalvo@gmail.com</t>
  </si>
  <si>
    <t>jarambarri@biskyteam.com</t>
  </si>
  <si>
    <t>Lorena Machón Antolín</t>
  </si>
  <si>
    <t>71964366B</t>
  </si>
  <si>
    <t>lorenamachon@gmail.com</t>
  </si>
  <si>
    <t>lmachon@biskyteam.com</t>
  </si>
  <si>
    <t>Grado en Ingeniería de Tecnologías</t>
  </si>
  <si>
    <t>www.linkedin.com/in/lorena-machón</t>
  </si>
  <si>
    <t>Específicas de Telecomunicación</t>
  </si>
  <si>
    <t>Alain Fernandez Grande</t>
  </si>
  <si>
    <t>79172267B</t>
  </si>
  <si>
    <t>prop7biskyteam@gmail.com</t>
  </si>
  <si>
    <t>unialain1999@gmail.com</t>
  </si>
  <si>
    <t>alainfernandez@biskyteam.com</t>
  </si>
  <si>
    <t>www.linkedin.com/in/alainfernandezgrande</t>
  </si>
  <si>
    <t>Asier Mentxaka Eguzkitzaga</t>
  </si>
  <si>
    <t>79137900Y</t>
  </si>
  <si>
    <t>control9biskyteam@gmail.com</t>
  </si>
  <si>
    <t>asiermentxaka98@gmail.com</t>
  </si>
  <si>
    <t>asiermentxaka@biskyteam.com</t>
  </si>
  <si>
    <t>Máster en Ingeniería en Tecnología Industrial</t>
  </si>
  <si>
    <t>www.linkedin.com/in/asier-mentxaka-544994174</t>
  </si>
  <si>
    <t>Diego Serrano Varela</t>
  </si>
  <si>
    <t>79129669D</t>
  </si>
  <si>
    <t>diseva93@gmail.com</t>
  </si>
  <si>
    <t>https://www.linkedin.com/in/diserran/</t>
  </si>
  <si>
    <t>https://www.linkedin.com/in/borja-jimeno-soto-66b04616b</t>
  </si>
  <si>
    <t>Iñigo Bouzas Olabarri</t>
  </si>
  <si>
    <t>79180190E</t>
  </si>
  <si>
    <t>avionics4biskyteam@gmail.com</t>
  </si>
  <si>
    <t>bouzas.inigo@gmail.com</t>
  </si>
  <si>
    <t>ibouzas@biskyteam.com</t>
  </si>
  <si>
    <t>Victor Hugo Ferreira Da Silva</t>
  </si>
  <si>
    <t>9/9/22 &lt;3</t>
  </si>
  <si>
    <t>Y2823992C</t>
  </si>
  <si>
    <t>victorferre7@gmail.com</t>
  </si>
  <si>
    <t>vferreira@biskyteam.com</t>
  </si>
  <si>
    <t>Grado en ingeniería mecánica</t>
  </si>
  <si>
    <t>https://www.linkedin.com/in/victor-ferreira-91b19b173</t>
  </si>
  <si>
    <t>Xabier Idiondo Goñi</t>
  </si>
  <si>
    <t>79006671S</t>
  </si>
  <si>
    <t>prop8biskyteam@gmail.com</t>
  </si>
  <si>
    <t>xabieridi@gmail.com</t>
  </si>
  <si>
    <t>xidiondo@biskyteam.com</t>
  </si>
  <si>
    <t>Mikel Elejade</t>
  </si>
  <si>
    <t>79131199K</t>
  </si>
  <si>
    <t>mikelelejade1@gmail.com</t>
  </si>
  <si>
    <t>melejalde@biskyteam.com</t>
  </si>
  <si>
    <t>Mikel Sancho</t>
  </si>
  <si>
    <t>78998360F</t>
  </si>
  <si>
    <t>June Moreno Gutierrez</t>
  </si>
  <si>
    <t>45994172Z</t>
  </si>
  <si>
    <t>jmoreno@biskyteam.com</t>
  </si>
  <si>
    <t>Grado en Periodismo</t>
  </si>
  <si>
    <t>Gontzal Gomez Arteta</t>
  </si>
  <si>
    <t>79299792R</t>
  </si>
  <si>
    <t>gontzal.g.arteta@gmail.com</t>
  </si>
  <si>
    <t>ggomez@biskyteam.com</t>
  </si>
  <si>
    <t>Egoitz Burgo Crecente</t>
  </si>
  <si>
    <t>79224497P</t>
  </si>
  <si>
    <t>eburgo@biskyteam.com</t>
  </si>
  <si>
    <t xml:space="preserve">Grado en ingenirería mecánica </t>
  </si>
  <si>
    <t>Ignacio Amundarain Fernandez</t>
  </si>
  <si>
    <t>72602933Y</t>
  </si>
  <si>
    <t>estruc3biskyteam@gmail.com</t>
  </si>
  <si>
    <t>ignacioamundarain@gmail.com</t>
  </si>
  <si>
    <t>iamundarain@biskyteam.com</t>
  </si>
  <si>
    <t>www.linkedin.com/in/ignacio-amundarain-fernandez-012006131</t>
  </si>
  <si>
    <t>Daniel Pérez Fernández</t>
  </si>
  <si>
    <t>16096634S</t>
  </si>
  <si>
    <t>prop6biskyteam@gmail.com</t>
  </si>
  <si>
    <t>dafernandezperez@gmail.com</t>
  </si>
  <si>
    <t>danielperez@biskyteam.com</t>
  </si>
  <si>
    <t>https://www.linkedin.com/in/danielperezfernandez18</t>
  </si>
  <si>
    <t>Asier Agirre San Martin</t>
  </si>
  <si>
    <t>73216376Q</t>
  </si>
  <si>
    <t>asieragirre9@gmail.com</t>
  </si>
  <si>
    <t>asier.aguirre@biskyteam.com</t>
  </si>
  <si>
    <t>Endika Llano Matxin</t>
  </si>
  <si>
    <t>45915107T</t>
  </si>
  <si>
    <t>endikallano@gmail.com</t>
  </si>
  <si>
    <t>ellano@biskyteam.com</t>
  </si>
  <si>
    <t>Ibai Pereda Lopez</t>
  </si>
  <si>
    <t>22761196M</t>
  </si>
  <si>
    <t>ibaipereda2@gmail.com</t>
  </si>
  <si>
    <t>ibai.pereda@biskyteam.com</t>
  </si>
  <si>
    <t>VMi</t>
  </si>
  <si>
    <t>https://www.linkedin.com/in/ibaipereda/</t>
  </si>
  <si>
    <t>Giovanni Pecoraro Mariñelarena</t>
  </si>
  <si>
    <t>16096434E</t>
  </si>
  <si>
    <t>giovanni.leioa@gmail.com</t>
  </si>
  <si>
    <t>giovanni.pecoraro@biskyteam.com</t>
  </si>
  <si>
    <t>Maite Garcia Garay</t>
  </si>
  <si>
    <t>79296080S</t>
  </si>
  <si>
    <t>garciagaraymaite@gmail.com</t>
  </si>
  <si>
    <t>mgarcia@biskyteam.com</t>
  </si>
  <si>
    <t>Jon Pérez Bozal</t>
  </si>
  <si>
    <t>22760351B</t>
  </si>
  <si>
    <t>control1biskyteam@gmail.com</t>
  </si>
  <si>
    <t>jonperezbozal@gmail.com</t>
  </si>
  <si>
    <t>jperez@biskyteam.com</t>
  </si>
  <si>
    <t>www.linkedin.com/in/jon-perez-bozal</t>
  </si>
  <si>
    <t>Grado en ingenieria Electrónica Industrial y Automática</t>
  </si>
  <si>
    <t>Samuel Cano Domínguez</t>
  </si>
  <si>
    <t>72202530X</t>
  </si>
  <si>
    <t>samusuli18@gmail.com</t>
  </si>
  <si>
    <t>scano@biskyteam.com</t>
  </si>
  <si>
    <t>https://www.linkedin.com/in/samuel-cano-dom%C3%ADnguez-9095b5222/</t>
  </si>
  <si>
    <t>https://www.linkedin.com/in/unai-ruiz-gonz%C3%A1lez-603127210/</t>
  </si>
  <si>
    <t>Reinaldo Valle Barragan</t>
  </si>
  <si>
    <t>74362300B</t>
  </si>
  <si>
    <t>rvalle859@gmail.com</t>
  </si>
  <si>
    <t>rvalle@biskyteam.com</t>
  </si>
  <si>
    <t>Máster en Ingeniería Mecánica y Máster en Tecnología aeronáutica y máquina-herramienta</t>
  </si>
  <si>
    <t>www.linkedin.com/in/reinaldo-valle-barragan-09006714a</t>
  </si>
  <si>
    <t>Iñaki Agraso Sánchez</t>
  </si>
  <si>
    <t>79130713H</t>
  </si>
  <si>
    <t>agrasoinaki@gmail.com</t>
  </si>
  <si>
    <t>iagraso@biskyteam.com</t>
  </si>
  <si>
    <t>605 46 60 91</t>
  </si>
  <si>
    <t>Aitor Pascual Bouzas</t>
  </si>
  <si>
    <t>78955476H</t>
  </si>
  <si>
    <t>aitorpb10@gmail.com</t>
  </si>
  <si>
    <t>apascual@biskyteam.com</t>
  </si>
  <si>
    <t>Iñigo Losada</t>
  </si>
  <si>
    <t>16098019C</t>
  </si>
  <si>
    <t>inigolosada1@gmail.com</t>
  </si>
  <si>
    <t>ilosada@biskyteam.com</t>
  </si>
  <si>
    <t>Física</t>
  </si>
  <si>
    <t>Kerman Bilbao Pinedo</t>
  </si>
  <si>
    <t>16096877M</t>
  </si>
  <si>
    <t>bilbaopinedo@gmail.com</t>
  </si>
  <si>
    <t>kbilbao@biskyteam.com</t>
  </si>
  <si>
    <t>Imanol Gómez Gorbea</t>
  </si>
  <si>
    <t>20977647Z</t>
  </si>
  <si>
    <t>imanolgomezgorbea@gmail.com</t>
  </si>
  <si>
    <t>igomez@biskyteam.com</t>
  </si>
  <si>
    <t>Endika Arriola Fernandez</t>
  </si>
  <si>
    <t>79129284F</t>
  </si>
  <si>
    <t>eafupvmec@gmail.com</t>
  </si>
  <si>
    <t>earriola@biskyteam.com</t>
  </si>
  <si>
    <t>Maider Sancho Urtiaga</t>
  </si>
  <si>
    <t>79138054E</t>
  </si>
  <si>
    <t>maidersan59@gmail.com.</t>
  </si>
  <si>
    <t>msancho@biskyteam.com</t>
  </si>
  <si>
    <t>Aitor Castro López</t>
  </si>
  <si>
    <t>45754472C</t>
  </si>
  <si>
    <t>aitor22castro@gmail.com</t>
  </si>
  <si>
    <t>acastro@biskyteam.com</t>
  </si>
  <si>
    <t>Gestamp</t>
  </si>
  <si>
    <t>https://www.linkedin.com/in/aitor-castro-741a6920b/</t>
  </si>
  <si>
    <t>Jon García Arechabaleta</t>
  </si>
  <si>
    <t>16099003S</t>
  </si>
  <si>
    <t>jongarcia0000@gmail.com</t>
  </si>
  <si>
    <t>jon.garcia@biskyteam.com</t>
  </si>
  <si>
    <t>https://www.linkedin.com/in/jon-garc%C3%ADa-aretxabaleta-4766b0214/</t>
  </si>
  <si>
    <t>Aitzol Olivares Rad</t>
  </si>
  <si>
    <t>46372297L</t>
  </si>
  <si>
    <t>aitzololibares15@gmail.com</t>
  </si>
  <si>
    <t>aolivares@biskyteam.com</t>
  </si>
  <si>
    <t>Paula Gonzalez Plano</t>
  </si>
  <si>
    <t>79241960Z</t>
  </si>
  <si>
    <t>paulagpuni@gmail.com</t>
  </si>
  <si>
    <t>pgonzalez@biskyteam.com</t>
  </si>
  <si>
    <t>Ying Torres</t>
  </si>
  <si>
    <t>79113393V</t>
  </si>
  <si>
    <t>ytorres@biskyteam.com</t>
  </si>
  <si>
    <t>Grado en ADE + Economía</t>
  </si>
  <si>
    <t>4º</t>
  </si>
  <si>
    <t>https://www.linkedin.com/in/yingtorres/</t>
  </si>
  <si>
    <t>Pedro López Rosillo</t>
  </si>
  <si>
    <t xml:space="preserve">51001270N </t>
  </si>
  <si>
    <t xml:space="preserve">Pedro.lopez.rosillo@gmail.com </t>
  </si>
  <si>
    <t>plopez@biskyteam.com</t>
  </si>
  <si>
    <t xml:space="preserve">Master en ciencia y tecnología espacial </t>
  </si>
  <si>
    <t xml:space="preserve">Ingeniería técnica aeronáutica </t>
  </si>
  <si>
    <t>https://www.linkedin.com/in/pedro-lopez-rosillo</t>
  </si>
  <si>
    <t>Álvaro Castaños Saldaña</t>
  </si>
  <si>
    <t>79137328D</t>
  </si>
  <si>
    <t>castanosalvaro@gmail.com</t>
  </si>
  <si>
    <t>alvarocastanossaldana@gmail.com</t>
  </si>
  <si>
    <t>acastanos@biskyteam.com</t>
  </si>
  <si>
    <t>Master en Ingenieria Industrial y en Tecnologías Aeronáuticas</t>
  </si>
  <si>
    <t>https://www.linkedin.com/in/castanosalvaro/</t>
  </si>
  <si>
    <t>Mikel Landea Ruíz</t>
  </si>
  <si>
    <t>79186286T</t>
  </si>
  <si>
    <t>mlandea@biskyteam.com</t>
  </si>
  <si>
    <t xml:space="preserve">Máster en Ciencia y Tecnología Espacial </t>
  </si>
  <si>
    <t>1º</t>
  </si>
  <si>
    <t>Andoni Larrazabal Epalza</t>
  </si>
  <si>
    <t>78995370F</t>
  </si>
  <si>
    <t>larrazabalandoni@gmail.com</t>
  </si>
  <si>
    <t>alarrazabal@biskyteam.com</t>
  </si>
  <si>
    <t>Master en Ingenieria Industrial</t>
  </si>
  <si>
    <t>Grado en ingenieria industrial</t>
  </si>
  <si>
    <t>Arkaitz Fernandez Filgueira</t>
  </si>
  <si>
    <t>79175013C</t>
  </si>
  <si>
    <t>arkaitzfernandez77@gmail.com</t>
  </si>
  <si>
    <t>arfernandez@biskyteam.com</t>
  </si>
  <si>
    <t>Máster en ingeniería mecánica</t>
  </si>
  <si>
    <t>Josu Bayer Aguirre</t>
  </si>
  <si>
    <t>79143888Z</t>
  </si>
  <si>
    <t>jbayer@biskyteam.com</t>
  </si>
  <si>
    <t>Félix Lombide Abaigar</t>
  </si>
  <si>
    <t>10/19/2023</t>
  </si>
  <si>
    <t>79078782K</t>
  </si>
  <si>
    <t xml:space="preserve">felombide@gmail.com </t>
  </si>
  <si>
    <t>Grado en Publicidad y Relaciones Públicas</t>
  </si>
  <si>
    <t>Lier Urquijo Santamaria</t>
  </si>
  <si>
    <t>22757279K</t>
  </si>
  <si>
    <t>lurquijo006@ikasle.ehu.eus</t>
  </si>
  <si>
    <t>lurquijo@biskyteam.com</t>
  </si>
  <si>
    <t>Edurne Llodio Martínez</t>
  </si>
  <si>
    <t>46367485Z</t>
  </si>
  <si>
    <t>ellodio001@ikasle.ehu.eus</t>
  </si>
  <si>
    <t>ellodio@biskyteam.com</t>
  </si>
  <si>
    <t>Daniel Garcia Cearra</t>
  </si>
  <si>
    <t>79114981H</t>
  </si>
  <si>
    <t>danielgarciacearra@gmail.com</t>
  </si>
  <si>
    <t>dgarcia161@ikasle.ehu.eus</t>
  </si>
  <si>
    <t>dgarcia@biskyteam.com</t>
  </si>
  <si>
    <t>Eneko Vaca Ramírez</t>
  </si>
  <si>
    <t>10/16/2023</t>
  </si>
  <si>
    <t>16098815B</t>
  </si>
  <si>
    <t>gobeko07@gmail.com</t>
  </si>
  <si>
    <t>evaca003@ikasle.ehu.eus</t>
  </si>
  <si>
    <t>evaca@biskyteam.com</t>
  </si>
  <si>
    <t>Ane Porto Iglesias</t>
  </si>
  <si>
    <t>79223858J</t>
  </si>
  <si>
    <t>aporto002@ikasle.ehu.eus</t>
  </si>
  <si>
    <t>aporto@biskyteam.com</t>
  </si>
  <si>
    <t>Mikel Ayerbe Molina</t>
  </si>
  <si>
    <t>53984836H</t>
  </si>
  <si>
    <t>Fisica</t>
  </si>
  <si>
    <t xml:space="preserve">Cedric Resente </t>
  </si>
  <si>
    <t>Fase de Pruebas</t>
  </si>
  <si>
    <t>X8608683J</t>
  </si>
  <si>
    <t>resentecedric@gmail.com</t>
  </si>
  <si>
    <t>LinkedIn Cedric Resente</t>
  </si>
  <si>
    <t>Laura Alonso Aramburu</t>
  </si>
  <si>
    <t>18/10/2022</t>
  </si>
  <si>
    <t>79052745C</t>
  </si>
  <si>
    <t>Lauralonsoaramburu@gmail.com</t>
  </si>
  <si>
    <t>Mikel Sobrevilla Santa Maria</t>
  </si>
  <si>
    <t>79243683N</t>
  </si>
  <si>
    <t>sobremikel@gmail.com</t>
  </si>
  <si>
    <t>msobrevilla001@ikasle.ehu.eus</t>
  </si>
  <si>
    <t>lalonso@biskyteam.com</t>
  </si>
  <si>
    <t>Antoine Martinez Beau</t>
  </si>
  <si>
    <t>71310621H</t>
  </si>
  <si>
    <t>antoinemartinezbeau@gmail.com</t>
  </si>
  <si>
    <t>amartinez485@ikasle.ehu.eus</t>
  </si>
  <si>
    <t>amartinez@biskyteam.com</t>
  </si>
  <si>
    <t>Unai Moreno Urrea</t>
  </si>
  <si>
    <t>79241163E</t>
  </si>
  <si>
    <t xml:space="preserve">unaimoreno36@gmail.com </t>
  </si>
  <si>
    <t>umoreno@biskyteam.com</t>
  </si>
  <si>
    <t>Mikel Rivera Guerrero</t>
  </si>
  <si>
    <t xml:space="preserve">mikelrg2003@gmail.com </t>
  </si>
  <si>
    <t>pcarballo006@ikasle.ehu.eus</t>
  </si>
  <si>
    <t>mrivera@biskyteam.com</t>
  </si>
  <si>
    <t>Patricia Carballo Iglesias</t>
  </si>
  <si>
    <t>78997905N</t>
  </si>
  <si>
    <t>Pcarballo2002@gmail.com</t>
  </si>
  <si>
    <t>aibarretxe004@ikasle.ehu.eus</t>
  </si>
  <si>
    <t>pcarballo@biskyteam.com</t>
  </si>
  <si>
    <t>LinkedIn Patricia Carballo</t>
  </si>
  <si>
    <t>Asier Ibarretxe Garcia</t>
  </si>
  <si>
    <t>79187871K</t>
  </si>
  <si>
    <t>asieribarretxe8@gmail.com</t>
  </si>
  <si>
    <t>aibarretxe@biskyteam.com</t>
  </si>
  <si>
    <t>Ekaitz Ungo Ruiz</t>
  </si>
  <si>
    <t>46374272Q</t>
  </si>
  <si>
    <t>ekaitzungo@gmail.com</t>
  </si>
  <si>
    <t>eungo001@ikasle.ehu.eus</t>
  </si>
  <si>
    <t>eungo@biskyteam.com</t>
  </si>
  <si>
    <t>Mahmoud Gaafar</t>
  </si>
  <si>
    <t>79173307Q</t>
  </si>
  <si>
    <t>mahmoud.egipto@gmail.com</t>
  </si>
  <si>
    <t>mgaafar001@ikasle.ehu.eus</t>
  </si>
  <si>
    <t>mgaafar@biskyteam.com</t>
  </si>
  <si>
    <t>Ainara Gurtubay Miguel</t>
  </si>
  <si>
    <t>79143294H</t>
  </si>
  <si>
    <t>ainaragurtubay1@gmail.com</t>
  </si>
  <si>
    <t>agurtubay005@ikasle.ehu.eus</t>
  </si>
  <si>
    <t>agurtubay@biskyteam.com</t>
  </si>
  <si>
    <t>Máster en Ingeniería de Telecomunicación con una doble titulación en M.Sc. in Electrical Engineering en el IIT Chicago</t>
  </si>
  <si>
    <t>Asier Azconobieta Rodrigo</t>
  </si>
  <si>
    <t>79296680V</t>
  </si>
  <si>
    <t>aazconobieta002@ikasle.ehu.eus</t>
  </si>
  <si>
    <t>aazconobieta@biskyteam.com</t>
  </si>
  <si>
    <t>Alba Hernandez Amador</t>
  </si>
  <si>
    <t>74445010J</t>
  </si>
  <si>
    <t>ahernandez205@ikasle.ehu.eus</t>
  </si>
  <si>
    <t>ahernandez@biskyteam.com</t>
  </si>
  <si>
    <t>Andreea Pop Dinca</t>
  </si>
  <si>
    <t>71798274W</t>
  </si>
  <si>
    <t>apop002@ikasle.ehu.eus</t>
  </si>
  <si>
    <t>apop@biskyteam.com</t>
  </si>
  <si>
    <t>Ana Victoria Almaraz Ibáñez</t>
  </si>
  <si>
    <t xml:space="preserve">79364834E </t>
  </si>
  <si>
    <t xml:space="preserve">victoriaibalma@gmail.com  </t>
  </si>
  <si>
    <t>aalmaraz003@ikasle.ehu.eus</t>
  </si>
  <si>
    <t>valmaraz@biskyteam.com</t>
  </si>
  <si>
    <t>LinkedIn Victoria Almaraz</t>
  </si>
  <si>
    <t>Inicio como Faculty</t>
  </si>
  <si>
    <t>Pedro Luis Arias</t>
  </si>
  <si>
    <t>Faculty</t>
  </si>
  <si>
    <t>pedroluis.arias@ehu.eus</t>
  </si>
  <si>
    <t>Ion Agirre Arisketa</t>
  </si>
  <si>
    <t>ion.agirre@ehu.eus</t>
  </si>
  <si>
    <t>Maria Asuncion Ilarramendi Leturia</t>
  </si>
  <si>
    <t>ma.illarramendi@ehu.eus</t>
  </si>
  <si>
    <t>Victor Petuya Arcocha</t>
  </si>
  <si>
    <t>victor.petuya@ehu.eus</t>
  </si>
  <si>
    <t>Gontzal Lopez Ruiz</t>
  </si>
  <si>
    <t>gontzal.lopez@ehu.eus</t>
  </si>
  <si>
    <t>INFORMACIÓN IMPORTANTE</t>
  </si>
  <si>
    <t>Para insertar la Tabla dinámica seleccionada, hemos tenido que organizar los datos en columnas con una sola fila de encabezado.</t>
  </si>
  <si>
    <t>Campo1</t>
  </si>
  <si>
    <t>Campo2</t>
  </si>
  <si>
    <t>Campo3</t>
  </si>
  <si>
    <t>Campo4</t>
  </si>
  <si>
    <t>Campo5</t>
  </si>
  <si>
    <t>Campo6</t>
  </si>
  <si>
    <t>Campo7</t>
  </si>
  <si>
    <t>Campo9</t>
  </si>
  <si>
    <t>Campo10</t>
  </si>
  <si>
    <t>Campo11</t>
  </si>
  <si>
    <t>Campo12</t>
  </si>
  <si>
    <t>Campo13</t>
  </si>
  <si>
    <t>Campo14</t>
  </si>
  <si>
    <t>Campo15</t>
  </si>
  <si>
    <t>Campo16</t>
  </si>
  <si>
    <t>Campo17</t>
  </si>
  <si>
    <t>Campo18</t>
  </si>
  <si>
    <t>Campo19</t>
  </si>
  <si>
    <t>Campo20</t>
  </si>
  <si>
    <t>Campo21</t>
  </si>
  <si>
    <t>Campo22</t>
  </si>
  <si>
    <t>Campo23</t>
  </si>
  <si>
    <t>Campo24</t>
  </si>
  <si>
    <t>Campo25</t>
  </si>
  <si>
    <t>Campo26</t>
  </si>
  <si>
    <t>Campo27</t>
  </si>
  <si>
    <t>Fase Pruebas</t>
  </si>
  <si>
    <t>Linkedin Mikel Elustondo</t>
  </si>
  <si>
    <t>Linkedin Iñigo Martinez</t>
  </si>
  <si>
    <t>Eneko Lambea Villar</t>
  </si>
  <si>
    <t>16094327P</t>
  </si>
  <si>
    <t>enekolamvi@gmail.com</t>
  </si>
  <si>
    <t>elambea001@ikasle.ehu.eus</t>
  </si>
  <si>
    <t>elambea@biskyteam.com</t>
  </si>
  <si>
    <t>Doble grado en Fisica e Ingenieria Electronica</t>
  </si>
  <si>
    <t>Ekaitz Ungo Ruiz</t>
  </si>
  <si>
    <t xml:space="preserve">Jon Urizar </t>
  </si>
  <si>
    <t>Grado en telecominaciones</t>
  </si>
  <si>
    <t>Markel Lacabe</t>
  </si>
  <si>
    <t>Grado en informatica</t>
  </si>
  <si>
    <t>A!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</si>
</sst>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05A9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4">
    <xf numFmtId="0" fontId="0" fillId="0" borderId="0"/>
    <xf numFmtId="0" fontId="1" fillId="0" borderId="0" applyBorder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3" fillId="0" borderId="0" xfId="2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164" fontId="6" fillId="0" borderId="0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4" fontId="5" fillId="0" borderId="0" xfId="1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0" fillId="0" borderId="0" xfId="0" applyNumberFormat="1"/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4" fontId="6" fillId="0" borderId="0" xfId="1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4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4" borderId="1" xfId="2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3" fillId="0" borderId="2" xfId="2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5" xfId="2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3" fillId="0" borderId="0" xfId="2"/>
    <xf numFmtId="0" fontId="12" fillId="0" borderId="0" xfId="0" applyFont="1" applyAlignment="1">
      <alignment horizontal="center"/>
    </xf>
    <xf numFmtId="0" fontId="12" fillId="0" borderId="0" xfId="0" applyFont="1"/>
    <xf numFmtId="0" fontId="3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2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0" borderId="0" xfId="2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12" xfId="2" applyBorder="1" applyAlignment="1">
      <alignment horizontal="center" vertical="center"/>
    </xf>
    <xf numFmtId="0" fontId="3" fillId="0" borderId="8" xfId="2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2" xfId="3" applyBorder="1" applyAlignment="1">
      <alignment horizontal="center" vertical="center"/>
    </xf>
    <xf numFmtId="0" fontId="3" fillId="0" borderId="0" xfId="3" applyAlignment="1">
      <alignment horizontal="center" vertical="center"/>
    </xf>
    <xf numFmtId="0" fontId="4" fillId="0" borderId="0" xfId="0" applyFont="1"/>
  </cellXfs>
  <cellStyles count="4">
    <cellStyle name="Default 1" xfId="1" xr:uid="{7CBE380C-10D0-43C7-9D4E-212D3AA87338}"/>
    <cellStyle name="Hipervínculo" xfId="2" builtinId="8"/>
    <cellStyle name="Hyperlink" xfId="3" xr:uid="{00000000-000B-0000-0000-000008000000}"/>
    <cellStyle name="Normal" xfId="0" builtinId="0"/>
  </cellStyles>
  <dxfs count="191"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rgb="FFAE78D6"/>
        </patternFill>
      </fill>
    </dxf>
    <dxf>
      <fill>
        <patternFill>
          <bgColor rgb="FF22DCB9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fill>
        <patternFill>
          <bgColor rgb="FF93C47D"/>
        </patternFill>
      </fill>
    </dxf>
    <dxf>
      <fill>
        <patternFill>
          <bgColor rgb="FFF5E7ED"/>
        </patternFill>
      </fill>
    </dxf>
    <dxf>
      <fill>
        <patternFill>
          <bgColor rgb="FFFF9838"/>
        </patternFill>
      </fill>
    </dxf>
    <dxf>
      <fill>
        <patternFill>
          <bgColor rgb="FFFFFF00"/>
        </patternFill>
      </fill>
    </dxf>
    <dxf>
      <fill>
        <patternFill>
          <bgColor rgb="FFBDD6EE"/>
        </patternFill>
      </fill>
    </dxf>
    <dxf>
      <fill>
        <patternFill>
          <bgColor rgb="FFDDAFFF"/>
        </patternFill>
      </fill>
    </dxf>
    <dxf>
      <fill>
        <patternFill>
          <bgColor rgb="FFF9CB9C"/>
        </patternFill>
      </fill>
    </dxf>
    <dxf>
      <fill>
        <patternFill>
          <bgColor rgb="FFC5E0B3"/>
        </patternFill>
      </fill>
    </dxf>
    <dxf>
      <fill>
        <patternFill>
          <bgColor rgb="FFFFAFE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E6A1F9"/>
        </patternFill>
      </fill>
    </dxf>
    <dxf>
      <fill>
        <patternFill>
          <bgColor rgb="FFBDD6EE"/>
        </patternFill>
      </fill>
    </dxf>
    <dxf>
      <fill>
        <patternFill patternType="none">
          <bgColor auto="1"/>
        </patternFill>
      </fill>
    </dxf>
    <dxf>
      <fill>
        <patternFill>
          <bgColor rgb="FFFFE598"/>
        </patternFill>
      </fill>
    </dxf>
    <dxf>
      <fill>
        <patternFill>
          <bgColor rgb="FF9FC5E8"/>
        </patternFill>
      </fill>
    </dxf>
    <dxf>
      <numFmt numFmtId="167" formatCode="0\ &quot;Falta&quot;"/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 patternType="solid">
          <fgColor auto="1"/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rgb="FFAE78D6"/>
        </patternFill>
      </fill>
    </dxf>
    <dxf>
      <fill>
        <patternFill>
          <bgColor rgb="FF22DCB9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9999FF"/>
        </patternFill>
      </fill>
    </dxf>
    <dxf>
      <fill>
        <patternFill>
          <bgColor theme="8" tint="0.39994506668294322"/>
        </patternFill>
      </fill>
    </dxf>
    <dxf>
      <numFmt numFmtId="167" formatCode="0\ &quot;Falta&quot;"/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 patternType="solid">
          <fgColor auto="1"/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rgb="FFAE78D6"/>
        </patternFill>
      </fill>
    </dxf>
    <dxf>
      <fill>
        <patternFill>
          <bgColor rgb="FF22DCB9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9999FF"/>
        </patternFill>
      </fill>
    </dxf>
    <dxf>
      <fill>
        <patternFill>
          <bgColor theme="8" tint="0.39994506668294322"/>
        </patternFill>
      </fill>
    </dxf>
    <dxf>
      <numFmt numFmtId="167" formatCode="0\ &quot;Falta&quot;"/>
      <fill>
        <patternFill>
          <bgColor rgb="FFFF0000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A4D4CB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horizontal="center"/>
    </dxf>
    <dxf>
      <alignment wrapText="1"/>
    </dxf>
    <dxf>
      <alignment wrapText="1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2DCB9"/>
      <color rgb="FFAE78D6"/>
      <color rgb="FFA4D4CB"/>
      <color rgb="FFA7E7D9"/>
      <color rgb="FFC6E9EB"/>
      <color rgb="FF66CCFF"/>
      <color rgb="FFCC99FF"/>
      <color rgb="FF9966FF"/>
      <color rgb="FF99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[EQUIPO.xlsx]Gráficos!TablaDinámica4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Gráficos!$D$4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99-430A-9E7D-3D7646619C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99-430A-9E7D-3D7646619C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99-430A-9E7D-3D7646619C10}"/>
              </c:ext>
            </c:extLst>
          </c:dPt>
          <c:cat>
            <c:strRef>
              <c:f>Gráficos!$C$5:$C$7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Gráficos!$D$5:$D$7</c:f>
              <c:numCache>
                <c:formatCode>General</c:formatCode>
                <c:ptCount val="2"/>
                <c:pt idx="0">
                  <c:v>36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8-46A3-952F-1EB802301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[EQUIPO.xlsx]Gráficos!TablaDinámica5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Gráficos!$K$2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B4-479B-9257-674CF6C00C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B4-479B-9257-674CF6C00C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B4-479B-9257-674CF6C00C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4-479B-9257-674CF6C00C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4-479B-9257-674CF6C00C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4-479B-9257-674CF6C00C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B4-479B-9257-674CF6C00C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B4-479B-9257-674CF6C00C7C}"/>
              </c:ext>
            </c:extLst>
          </c:dPt>
          <c:cat>
            <c:strRef>
              <c:f>Gráficos!$J$3:$J$9</c:f>
              <c:strCache>
                <c:ptCount val="6"/>
                <c:pt idx="0">
                  <c:v>Chief</c:v>
                </c:pt>
                <c:pt idx="1">
                  <c:v>Financial Manager</c:v>
                </c:pt>
                <c:pt idx="2">
                  <c:v>Member</c:v>
                </c:pt>
                <c:pt idx="3">
                  <c:v>Project Manager</c:v>
                </c:pt>
                <c:pt idx="4">
                  <c:v>Team Leader</c:v>
                </c:pt>
                <c:pt idx="5">
                  <c:v>Technical</c:v>
                </c:pt>
              </c:strCache>
            </c:strRef>
          </c:cat>
          <c:val>
            <c:numRef>
              <c:f>Gráficos!$K$3:$K$9</c:f>
              <c:numCache>
                <c:formatCode>General</c:formatCode>
                <c:ptCount val="6"/>
                <c:pt idx="0">
                  <c:v>8</c:v>
                </c:pt>
                <c:pt idx="1">
                  <c:v>1</c:v>
                </c:pt>
                <c:pt idx="2">
                  <c:v>19</c:v>
                </c:pt>
                <c:pt idx="3">
                  <c:v>4</c:v>
                </c:pt>
                <c:pt idx="4">
                  <c:v>1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F-4B3A-83FD-F0641C443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</xdr:row>
      <xdr:rowOff>38100</xdr:rowOff>
    </xdr:from>
    <xdr:to>
      <xdr:col>1</xdr:col>
      <xdr:colOff>3392466</xdr:colOff>
      <xdr:row>4</xdr:row>
      <xdr:rowOff>15240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AB93E45-9F5F-9389-9C8F-6C6AB9BE989D}"/>
            </a:ext>
          </a:extLst>
        </xdr:cNvPr>
        <xdr:cNvSpPr/>
      </xdr:nvSpPr>
      <xdr:spPr>
        <a:xfrm>
          <a:off x="823795" y="225990"/>
          <a:ext cx="3361986" cy="54081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2400"/>
            <a:t>Como</a:t>
          </a:r>
          <a:r>
            <a:rPr lang="es-ES" sz="2400" baseline="0"/>
            <a:t> utilizar este excel</a:t>
          </a:r>
          <a:endParaRPr lang="es-ES" sz="2400"/>
        </a:p>
      </xdr:txBody>
    </xdr:sp>
    <xdr:clientData/>
  </xdr:twoCellAnchor>
  <xdr:twoCellAnchor>
    <xdr:from>
      <xdr:col>1</xdr:col>
      <xdr:colOff>38100</xdr:colOff>
      <xdr:row>5</xdr:row>
      <xdr:rowOff>83820</xdr:rowOff>
    </xdr:from>
    <xdr:to>
      <xdr:col>1</xdr:col>
      <xdr:colOff>2317315</xdr:colOff>
      <xdr:row>7</xdr:row>
      <xdr:rowOff>137160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E75AC6F-E7E9-4D10-A23A-6B18F75DEE35}"/>
            </a:ext>
          </a:extLst>
        </xdr:cNvPr>
        <xdr:cNvSpPr/>
      </xdr:nvSpPr>
      <xdr:spPr>
        <a:xfrm>
          <a:off x="831415" y="1023272"/>
          <a:ext cx="2279215" cy="42912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2000"/>
            <a:t>Agregar miembros</a:t>
          </a:r>
        </a:p>
      </xdr:txBody>
    </xdr:sp>
    <xdr:clientData/>
  </xdr:twoCellAnchor>
  <xdr:twoCellAnchor>
    <xdr:from>
      <xdr:col>3</xdr:col>
      <xdr:colOff>31315</xdr:colOff>
      <xdr:row>5</xdr:row>
      <xdr:rowOff>86012</xdr:rowOff>
    </xdr:from>
    <xdr:to>
      <xdr:col>3</xdr:col>
      <xdr:colOff>2310530</xdr:colOff>
      <xdr:row>7</xdr:row>
      <xdr:rowOff>139352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2576A27-C7AC-4F16-B17D-8FADE92FC1BE}"/>
            </a:ext>
          </a:extLst>
        </xdr:cNvPr>
        <xdr:cNvSpPr/>
      </xdr:nvSpPr>
      <xdr:spPr>
        <a:xfrm>
          <a:off x="6912175" y="1000412"/>
          <a:ext cx="2279215" cy="4191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2000"/>
            <a:t>Eliminar miembros</a:t>
          </a:r>
        </a:p>
      </xdr:txBody>
    </xdr:sp>
    <xdr:clientData/>
  </xdr:twoCellAnchor>
  <xdr:twoCellAnchor>
    <xdr:from>
      <xdr:col>1</xdr:col>
      <xdr:colOff>38100</xdr:colOff>
      <xdr:row>13</xdr:row>
      <xdr:rowOff>99060</xdr:rowOff>
    </xdr:from>
    <xdr:to>
      <xdr:col>1</xdr:col>
      <xdr:colOff>3429000</xdr:colOff>
      <xdr:row>15</xdr:row>
      <xdr:rowOff>152400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BB0737D-97AB-4D72-3A9B-C7E8F9F9B5AE}"/>
            </a:ext>
          </a:extLst>
        </xdr:cNvPr>
        <xdr:cNvSpPr/>
      </xdr:nvSpPr>
      <xdr:spPr>
        <a:xfrm>
          <a:off x="830580" y="2476500"/>
          <a:ext cx="3390900" cy="4191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2000"/>
            <a:t>De</a:t>
          </a:r>
          <a:r>
            <a:rPr lang="es-ES" sz="2000" baseline="0"/>
            <a:t> miembros a colaboradores</a:t>
          </a:r>
          <a:endParaRPr lang="es-ES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260350</xdr:colOff>
      <xdr:row>2</xdr:row>
      <xdr:rowOff>304801</xdr:rowOff>
    </xdr:from>
    <xdr:to>
      <xdr:col>2</xdr:col>
      <xdr:colOff>2089150</xdr:colOff>
      <xdr:row>9</xdr:row>
      <xdr:rowOff>152401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énero">
              <a:extLst>
                <a:ext uri="{FF2B5EF4-FFF2-40B4-BE49-F238E27FC236}">
                  <a16:creationId xmlns:a16="http://schemas.microsoft.com/office/drawing/2014/main" id="{CAFD8D9A-6B23-4CA5-B424-72497DF091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é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4800" y="552451"/>
              <a:ext cx="1828800" cy="1327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279400</xdr:colOff>
      <xdr:row>10</xdr:row>
      <xdr:rowOff>177800</xdr:rowOff>
    </xdr:from>
    <xdr:to>
      <xdr:col>2</xdr:col>
      <xdr:colOff>2108200</xdr:colOff>
      <xdr:row>24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 de Participante">
              <a:extLst>
                <a:ext uri="{FF2B5EF4-FFF2-40B4-BE49-F238E27FC236}">
                  <a16:creationId xmlns:a16="http://schemas.microsoft.com/office/drawing/2014/main" id="{F5E27686-A1BC-4B60-A068-21DED59940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articip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3850" y="20193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174624</xdr:colOff>
      <xdr:row>9</xdr:row>
      <xdr:rowOff>171450</xdr:rowOff>
    </xdr:from>
    <xdr:to>
      <xdr:col>5</xdr:col>
      <xdr:colOff>904874</xdr:colOff>
      <xdr:row>26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12148E-BE93-4C98-8F92-ADDEB41A5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422274</xdr:colOff>
      <xdr:row>12</xdr:row>
      <xdr:rowOff>47624</xdr:rowOff>
    </xdr:from>
    <xdr:to>
      <xdr:col>13</xdr:col>
      <xdr:colOff>571500</xdr:colOff>
      <xdr:row>29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447138-2176-4569-99CB-20731E701405}"/>
            </a:ext>
            <a:ext uri="{147F2762-F138-4A5C-976F-8EAC2B608ADB}">
              <a16:predDERef xmlns:a16="http://schemas.microsoft.com/office/drawing/2014/main" pred="{DE12148E-BE93-4C98-8F92-ADDEB41A5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KY Team" refreshedDate="45903.704488773146" createdVersion="8" refreshedVersion="8" minRefreshableVersion="3" recordCount="71" xr:uid="{8B67C753-3694-4133-BDBD-E56650DBA045}">
  <cacheSource type="worksheet">
    <worksheetSource ref="C6:AC77" sheet="Hoja1"/>
  </cacheSource>
  <cacheFields count="27">
    <cacheField name="Campo1" numFmtId="0">
      <sharedItems/>
    </cacheField>
    <cacheField name="Campo2" numFmtId="0">
      <sharedItems containsSemiMixedTypes="0" containsString="0" containsNumber="1" containsInteger="1" minValue="1" maxValue="71"/>
    </cacheField>
    <cacheField name="Campo3" numFmtId="0">
      <sharedItems/>
    </cacheField>
    <cacheField name="Campo4" numFmtId="0">
      <sharedItems/>
    </cacheField>
    <cacheField name="Campo5" numFmtId="14">
      <sharedItems containsSemiMixedTypes="0" containsNonDate="0" containsDate="1" containsString="0" minDate="2020-09-08T00:00:00" maxDate="2025-03-22T00:00:00"/>
    </cacheField>
    <cacheField name="Campo6" numFmtId="0">
      <sharedItems containsNonDate="0" containsDate="1" containsString="0" containsBlank="1" minDate="2020-01-12T00:00:00" maxDate="2024-12-07T00:00:00"/>
    </cacheField>
    <cacheField name="Campo7" numFmtId="0">
      <sharedItems containsBlank="1" containsMixedTypes="1" containsNumber="1" containsInteger="1" minValue="118473446" maxValue="118473446"/>
    </cacheField>
    <cacheField name="Campo8" numFmtId="0">
      <sharedItems count="6">
        <s v="Avionics"/>
        <s v="Flight Control &amp; Simulation"/>
        <s v="Aerodynamics &amp; Recovery"/>
        <s v="Propulsion"/>
        <s v="Structure"/>
        <s v="Business &amp; Management"/>
      </sharedItems>
    </cacheField>
    <cacheField name="Campo9" numFmtId="0">
      <sharedItems containsBlank="1"/>
    </cacheField>
    <cacheField name="Campo10" numFmtId="0">
      <sharedItems containsBlank="1"/>
    </cacheField>
    <cacheField name="Campo11" numFmtId="0">
      <sharedItems containsBlank="1"/>
    </cacheField>
    <cacheField name="Campo12" numFmtId="0">
      <sharedItems containsBlank="1"/>
    </cacheField>
    <cacheField name="Campo13" numFmtId="0">
      <sharedItems containsBlank="1"/>
    </cacheField>
    <cacheField name="Campo14" numFmtId="0">
      <sharedItems containsString="0" containsBlank="1" containsNumber="1" containsInteger="1" minValue="603601213" maxValue="697946564"/>
    </cacheField>
    <cacheField name="Campo15" numFmtId="0">
      <sharedItems/>
    </cacheField>
    <cacheField name="Campo16" numFmtId="0">
      <sharedItems containsBlank="1"/>
    </cacheField>
    <cacheField name="Campo17" numFmtId="0">
      <sharedItems containsBlank="1"/>
    </cacheField>
    <cacheField name="Campo18" numFmtId="0">
      <sharedItems containsBlank="1"/>
    </cacheField>
    <cacheField name="Campo19" numFmtId="0">
      <sharedItems containsBlank="1"/>
    </cacheField>
    <cacheField name="Campo20" numFmtId="0">
      <sharedItems containsBlank="1"/>
    </cacheField>
    <cacheField name="Campo21" numFmtId="0">
      <sharedItems containsBlank="1"/>
    </cacheField>
    <cacheField name="Campo22" numFmtId="0">
      <sharedItems containsBlank="1"/>
    </cacheField>
    <cacheField name="Campo23" numFmtId="0">
      <sharedItems containsBlank="1"/>
    </cacheField>
    <cacheField name="Campo24" numFmtId="0">
      <sharedItems containsBlank="1"/>
    </cacheField>
    <cacheField name="Campo25" numFmtId="0">
      <sharedItems containsBlank="1"/>
    </cacheField>
    <cacheField name="Campo26" numFmtId="0">
      <sharedItems containsBlank="1"/>
    </cacheField>
    <cacheField name="Campo27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9.542077893515" createdVersion="7" refreshedVersion="8" minRefreshableVersion="3" recordCount="51" xr:uid="{2A1247B2-F679-42EB-9A0C-4691EB453777}">
  <cacheSource type="worksheet">
    <worksheetSource name="EQUIPO"/>
  </cacheSource>
  <cacheFields count="26">
    <cacheField name="NOMBRE +2 apellidos" numFmtId="0">
      <sharedItems count="81">
        <s v="Unai Ruiz González"/>
        <s v="Josu del Río Berasategui"/>
        <s v="Jimena Isabel del Río Rodrigálvarez"/>
        <s v="Ander Arroyo Kremer"/>
        <s v="Unai Gómez Asporosa"/>
        <s v="Asier Salgado Rueda"/>
        <s v="Jon Andoni Esteban Arenas"/>
        <s v="Victoria Barahona Campo"/>
        <s v="Mikel Elustondo Mancisidor"/>
        <s v="Mario Casquete De la Puente"/>
        <s v="Mikel Frutes Pacheco"/>
        <s v="Jon Ander Pacho Garcia"/>
        <s v="Iñigo Martínez Peña "/>
        <s v="Juan Bilbao Pazos"/>
        <s v="Imanol Cornejo Fernandez"/>
        <s v="Maialen Jaureguibeitia Landeta"/>
        <s v="Xabier Martínez Guevara"/>
        <s v="Xabier Millan Cavadas"/>
        <s v="Erik Rojas Uribe-Echebarría "/>
        <s v="Jon Secada Martinez"/>
        <s v="Gorka Grijalba Barrañana"/>
        <s v="Anne Cuevas Molinos"/>
        <s v="Adair Gondan Alonso"/>
        <s v="Eneko González Hernández"/>
        <s v="Leire Garcia Goyoaga"/>
        <s v="Carla Rae Piercey Gonzalez"/>
        <s v="Ander Corral Marauri"/>
        <s v="Maider Tejada Ruiz de Alegría"/>
        <s v="Nerea Garmendia López de Robles "/>
        <s v="Goizane Castillo Aranaga"/>
        <s v="Omar Alonso Quinto"/>
        <s v="Markel Corchado Barbero"/>
        <s v="Jon Ander Sánchez Hernández "/>
        <s v="Raúl Marcos Sáenz del Burgo"/>
        <s v="Asier López Barrio"/>
        <s v="Fabián Bedia García"/>
        <s v="Hernán Marcos Serna"/>
        <s v="Ivan Lorenzo Romero"/>
        <s v="Jose Andrea Martinez Invernizzi"/>
        <s v="Maialen Davis Santiago"/>
        <s v="Markel Lacabe Durana"/>
        <s v="Marta Gómez Fueyo"/>
        <s v="Uxue Martitegi Elgezabal"/>
        <s v="Victor Llosa Lorenzo"/>
        <s v="Jon Urizar Duñabeitia"/>
        <s v="Martina Olmos Murcia"/>
        <s v="Mikel Laclau"/>
        <s v="Telmo Ubieta Urrutia"/>
        <s v="Leire Aresti Guijo"/>
        <s v="Alexander Perez Garcia"/>
        <s v="Leire Gómez Asporosa"/>
        <s v="Markel Lacabe" u="1"/>
        <s v="Jon Urizar " u="1"/>
        <s v="Leire Gomez Asporosa" u="1"/>
        <s v="Ana Victoria Almaraz Ibáñez" u="1"/>
        <s v="Ainara Gurtubay Miguel" u="1"/>
        <s v="Asier Azconobieta Rodrigo" u="1"/>
        <s v="Alba Hernandez Amador" u="1"/>
        <s v="Andreea Pop Dinca" u="1"/>
        <s v="María López Martín" u="1"/>
        <s v="Bruno Yera González" u="1"/>
        <s v="Irune Hoz Bregel" u="1"/>
        <s v="Asier Ibarretxe Garcia" u="1"/>
        <s v="Markel Perona Guerra" u="1"/>
        <s v="Roberto Carmona Goicoechea" u="1"/>
        <s v="Imanol Martínez Macho" u="1"/>
        <s v="Diego Yannick Fonseca Alvarez" u="1"/>
        <s v="Patricia Carballo Iglesias" u="1"/>
        <s v="Eneko Lambea Villar" u="1"/>
        <s v="Antoine Martinez Beau" u="1"/>
        <s v="Mikel Rivera Guerrero" u="1"/>
        <s v="Unai Moreno Urrea" u="1"/>
        <s v="Ekaitz Ungo Ruiz" u="1"/>
        <s v="Mahmoud Gaafar" u="1"/>
        <s v="Imanol Cornejo Fenandez" u="1"/>
        <s v="Mikel Sobrevilla Santa Maria" u="1"/>
        <s v="Nahiara Martínez Bergaretxe_x000a_" u="1"/>
        <s v="Cedric Resente " u="1"/>
        <s v="Mireya Martínez Rodríguez " u="1"/>
        <s v="Ane Porto Iglesias" u="1"/>
        <s v="Asier López" u="1"/>
      </sharedItems>
    </cacheField>
    <cacheField name="Número" numFmtId="0">
      <sharedItems containsSemiMixedTypes="0" containsString="0" containsNumber="1" containsInteger="1" minValue="1" maxValue="52"/>
    </cacheField>
    <cacheField name="Género" numFmtId="0">
      <sharedItems count="3">
        <s v="Hombre"/>
        <s v="Mujer"/>
        <s v="Otro" u="1"/>
      </sharedItems>
    </cacheField>
    <cacheField name="Tipo de Participante" numFmtId="0">
      <sharedItems count="8">
        <s v="Technical"/>
        <s v="Team Leader"/>
        <s v="Financial Manager"/>
        <s v="Member"/>
        <s v="Project Manager"/>
        <s v="Chief"/>
        <s v="Chief / Project Manager" u="1"/>
        <s v="Fase de Pruebas" u="1"/>
      </sharedItems>
    </cacheField>
    <cacheField name="Fecha fase de pruebas" numFmtId="0">
      <sharedItems containsSemiMixedTypes="0" containsNonDate="0" containsDate="1" containsString="0" minDate="2020-09-08T00:00:00" maxDate="2025-04-16T00:00:00"/>
    </cacheField>
    <cacheField name="Reconocimiento como miembro" numFmtId="14">
      <sharedItems containsSemiMixedTypes="0" containsNonDate="0" containsDate="1" containsString="0" minDate="2020-10-08T00:00:00" maxDate="2025-07-03T00:00:00"/>
    </cacheField>
    <cacheField name="DNI" numFmtId="0">
      <sharedItems containsMixedTypes="1" containsNumber="1" containsInteger="1" minValue="118473446" maxValue="118473446"/>
    </cacheField>
    <cacheField name="EQUIPO" numFmtId="0">
      <sharedItems/>
    </cacheField>
    <cacheField name="EQUIPO 2" numFmtId="0">
      <sharedItems containsBlank="1"/>
    </cacheField>
    <cacheField name="CORREO GMAIL" numFmtId="0">
      <sharedItems containsBlank="1"/>
    </cacheField>
    <cacheField name="CORREO GMAIL2" numFmtId="0">
      <sharedItems/>
    </cacheField>
    <cacheField name="CORREO UNIVERSIDAD" numFmtId="0">
      <sharedItems/>
    </cacheField>
    <cacheField name="CORREO DOMINIO PROPIO" numFmtId="0">
      <sharedItems/>
    </cacheField>
    <cacheField name="TELÉFONO" numFmtId="0">
      <sharedItems containsString="0" containsBlank="1" containsNumber="1" containsInteger="1" minValue="603601213" maxValue="697939075"/>
    </cacheField>
    <cacheField name="NIVEL DE TITULACIÓN" numFmtId="0">
      <sharedItems/>
    </cacheField>
    <cacheField name="TITULACIÓN ACTUAL" numFmtId="0">
      <sharedItems containsBlank="1"/>
    </cacheField>
    <cacheField name="TITULACIONES FINALIZADAS" numFmtId="0">
      <sharedItems containsBlank="1"/>
    </cacheField>
    <cacheField name="PRÁCTICAS" numFmtId="0">
      <sharedItems containsBlank="1"/>
    </cacheField>
    <cacheField name="Linked In" numFmtId="0">
      <sharedItems/>
    </cacheField>
    <cacheField name="CONTRATO DE PARTICIPACIÓN " numFmtId="0">
      <sharedItems containsBlank="1"/>
    </cacheField>
    <cacheField name="ACCESO AULA" numFmtId="0">
      <sharedItems containsBlank="1"/>
    </cacheField>
    <cacheField name="CORREO ACTIVO" numFmtId="0">
      <sharedItems containsBlank="1"/>
    </cacheField>
    <cacheField name="ACCESO Teams" numFmtId="0">
      <sharedItems containsBlank="1"/>
    </cacheField>
    <cacheField name="ACCESO BiskyCloud" numFmtId="0">
      <sharedItems containsBlank="1"/>
    </cacheField>
    <cacheField name="ACCESO 3DEXPERIENCE" numFmtId="0">
      <sharedItems containsBlank="1"/>
    </cacheField>
    <cacheField name="ROL DISCORD" numFmtId="0">
      <sharedItems/>
    </cacheField>
  </cacheFields>
  <extLst>
    <ext xmlns:x14="http://schemas.microsoft.com/office/spreadsheetml/2009/9/main" uri="{725AE2AE-9491-48be-B2B4-4EB974FC3084}">
      <x14:pivotCacheDefinition pivotCacheId="8318341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Unai Ruiz González"/>
    <n v="1"/>
    <s v="Hombre"/>
    <s v="Technical"/>
    <d v="2020-09-08T00:00:00"/>
    <m/>
    <s v="45890176R"/>
    <x v="0"/>
    <m/>
    <s v="ruizgonzalezunai@gmail.com"/>
    <s v="FALTA"/>
    <s v="uruiz026@ikasle.ehu.eus"/>
    <s v="uruiz@biskyteam.com"/>
    <n v="688825602"/>
    <s v="DOCTORADO"/>
    <s v="Doctorado en Tecnologías de la Información y Comunicaciones en Redes Móviles"/>
    <s v="Grado en Ingeniería en Tecnología de Telecomunicación + Máster en Ingeniería Computacional y Sistemas Inteligentes"/>
    <b v="0"/>
    <m/>
    <b v="1"/>
    <b v="1"/>
    <b v="0"/>
    <b v="0"/>
    <b v="0"/>
    <b v="0"/>
    <b v="0"/>
    <s v="Sin Rol"/>
  </r>
  <r>
    <s v="Bruno Yera González"/>
    <n v="2"/>
    <s v="Hombre"/>
    <s v="Technical"/>
    <d v="2020-11-02T00:00:00"/>
    <d v="2020-01-12T00:00:00"/>
    <s v="16098995F"/>
    <x v="1"/>
    <m/>
    <s v="brunoygbs@gmail.com"/>
    <s v="FALTA"/>
    <s v="byera001@ikasle.ehu.eus"/>
    <s v="byera@biskyteam.com"/>
    <n v="688877519"/>
    <s v="GRADO"/>
    <s v="Grado en Ingeniería Electrónica Industrial y Automática"/>
    <m/>
    <b v="0"/>
    <s v="LinkedIn Bruno Yera"/>
    <b v="1"/>
    <b v="1"/>
    <b v="1"/>
    <b v="1"/>
    <b v="1"/>
    <b v="0"/>
    <b v="0"/>
    <s v="Technical"/>
  </r>
  <r>
    <s v="Irune Hoz Bregel"/>
    <n v="3"/>
    <s v="Mujer"/>
    <s v="Technical"/>
    <d v="2020-11-02T00:00:00"/>
    <d v="2020-01-12T00:00:00"/>
    <s v="79050094Z"/>
    <x v="1"/>
    <m/>
    <s v="irunehoz@gmail.com"/>
    <s v="FALTA"/>
    <s v="ihoz001@ikasle.ehu.eus"/>
    <s v="Ihoz@biskyteam.com"/>
    <n v="639415020"/>
    <s v="MÁSTER"/>
    <s v="Máster en Ingeniería de Telecomunicación"/>
    <s v="Grado en Ingeniería en Tecnología de Telecomunicación"/>
    <b v="0"/>
    <s v="LinkedIn Irune Hoz Bregel"/>
    <b v="1"/>
    <b v="1"/>
    <b v="1"/>
    <b v="1"/>
    <b v="1"/>
    <b v="0"/>
    <b v="0"/>
    <s v="Technical"/>
  </r>
  <r>
    <s v="Josu del Río Berasategui"/>
    <n v="4"/>
    <s v="Hombre"/>
    <s v="Member"/>
    <d v="2020-11-02T00:00:00"/>
    <d v="2020-01-12T00:00:00"/>
    <s v="79138875S"/>
    <x v="1"/>
    <m/>
    <s v="josdriuu@gmail.com"/>
    <s v="FALTA"/>
    <s v="jdelrio012@ikasle.ehu.eus"/>
    <s v="jdelrio@biskyteam.com"/>
    <n v="629964492"/>
    <s v="DOCTORADO"/>
    <s v="Doctorado en Ingeniería Informática"/>
    <s v="Grado en Ingeniería Electrónica Industrial y Automática + Máster en Ingeniería Computacional y Sistemas Inteligentes"/>
    <b v="0"/>
    <s v="LinkedIn Josu del Rio"/>
    <b v="1"/>
    <b v="1"/>
    <b v="0"/>
    <b v="0"/>
    <b v="0"/>
    <b v="0"/>
    <b v="0"/>
    <s v="Chief"/>
  </r>
  <r>
    <s v="Jimena Isabel del Río Rodrigálvarez"/>
    <n v="5"/>
    <s v="Mujer"/>
    <s v="Chief / Project Manager"/>
    <d v="2021-07-10T00:00:00"/>
    <d v="2021-10-12T00:00:00"/>
    <s v="16632616M"/>
    <x v="1"/>
    <m/>
    <s v="jimenadelrio1@gmail.com"/>
    <s v="FALTA"/>
    <s v="jdelrio015@ikasle.ehu.eus"/>
    <s v="jisabel@biskyteam.com"/>
    <n v="646971469"/>
    <s v="GRADO"/>
    <s v="Grado en Ingeniería Electrónica Industrial y Automática"/>
    <m/>
    <b v="0"/>
    <s v="LinkedIn Jimena del Rio"/>
    <b v="1"/>
    <b v="1"/>
    <b v="1"/>
    <b v="1"/>
    <b v="1"/>
    <b v="0"/>
    <b v="0"/>
    <s v="Miembro"/>
  </r>
  <r>
    <s v="Ander Arroyo Kremer"/>
    <n v="6"/>
    <s v="Hombre"/>
    <s v="Financial Manager"/>
    <d v="2021-09-17T00:00:00"/>
    <d v="2021-10-17T00:00:00"/>
    <s v="20233463H"/>
    <x v="2"/>
    <m/>
    <s v="a.arroyok@gmail.com"/>
    <s v="FALTA"/>
    <s v="aarroyo024@ikasle.ehu.eus"/>
    <s v="aarroyo@biskyteam.com"/>
    <n v="684128280"/>
    <s v="MÁSTER"/>
    <s v="Máster en Ingeniería Industrial"/>
    <s v="Grado en Ingeniería en Tecnología Industrial"/>
    <b v="0"/>
    <s v="LinkedIn Ander Arroyo"/>
    <b v="1"/>
    <b v="1"/>
    <b v="1"/>
    <b v="1"/>
    <b v="1"/>
    <b v="1"/>
    <b v="1"/>
    <s v="Chief / Project Manager"/>
  </r>
  <r>
    <s v="Unai Gómez Asporosa"/>
    <n v="7"/>
    <s v="Hombre"/>
    <s v="Team Leader"/>
    <d v="2021-09-26T00:00:00"/>
    <d v="2021-10-12T00:00:00"/>
    <s v="79067552S"/>
    <x v="3"/>
    <m/>
    <s v="unaigoas2002@gmail.com"/>
    <s v="FALTA"/>
    <s v="ugomez021@ikasle.ehu.eus"/>
    <s v="ugomez@biskyteam.com"/>
    <n v="693844570"/>
    <s v="MÁSTER"/>
    <s v="Máster en Ingeniería Industrial"/>
    <s v="Grado en Ingeniería en Tecnología Industrial"/>
    <b v="0"/>
    <s v="LinkedIn Unai Gomez"/>
    <b v="1"/>
    <b v="1"/>
    <b v="1"/>
    <b v="1"/>
    <b v="1"/>
    <b v="0"/>
    <b v="1"/>
    <s v="Discord Admin"/>
  </r>
  <r>
    <s v="Asier Ibarretxe Garcia"/>
    <n v="8"/>
    <s v="Hombre"/>
    <s v="Technical"/>
    <d v="2021-10-13T00:00:00"/>
    <d v="2022-11-20T00:00:00"/>
    <s v="79187871K"/>
    <x v="3"/>
    <m/>
    <s v="asieribarretxe8@gmail.com"/>
    <s v="FALTA"/>
    <s v="aibarretxe004@ikasle.ehu.eus"/>
    <s v="aibarretxe@biskyteam.com"/>
    <n v="634400678"/>
    <s v="GRADO"/>
    <s v="Grado en Ingeniería en Tecnología Industrial"/>
    <m/>
    <b v="0"/>
    <m/>
    <b v="1"/>
    <b v="1"/>
    <b v="1"/>
    <b v="1"/>
    <b v="1"/>
    <b v="0"/>
    <b v="0"/>
    <s v="Fase Pruebas"/>
  </r>
  <r>
    <s v="Asier Salgado Rueda"/>
    <n v="9"/>
    <s v="Hombre"/>
    <s v="Technical"/>
    <d v="2021-10-13T00:00:00"/>
    <d v="2021-11-13T00:00:00"/>
    <s v="45892612E"/>
    <x v="2"/>
    <s v="Propulsion"/>
    <m/>
    <s v="FALTA"/>
    <s v="asalgado013@ikasle.ehu.eus"/>
    <s v="asalgado@biskyteam.com"/>
    <n v="687144411"/>
    <s v="GRADO"/>
    <s v="Grado en Ingeniería Mecánica"/>
    <m/>
    <b v="0"/>
    <s v="LinkedIn Asier Salgado"/>
    <b v="1"/>
    <b v="1"/>
    <b v="1"/>
    <b v="1"/>
    <b v="1"/>
    <b v="1"/>
    <b v="0"/>
    <s v="Fase Pruebas"/>
  </r>
  <r>
    <s v="Jon Andoni Esteban Arenas"/>
    <n v="10"/>
    <s v="Hombre"/>
    <s v="Technical"/>
    <d v="2021-10-13T00:00:00"/>
    <d v="2022-11-20T00:00:00"/>
    <s v="16092270K"/>
    <x v="3"/>
    <m/>
    <s v="jonaneste02@gmail.com"/>
    <s v="FALTA"/>
    <s v="jesteban020@ikasle.ehu.eus"/>
    <s v="jaesteban@biskyteam.com"/>
    <n v="688607624"/>
    <s v="MÁSTER"/>
    <s v="Doble Máster en Ingeniería Industrial + Tecnologías Aeronáuticas y Máquina-Herramienta"/>
    <s v="Grado en Ingeniería en Tecnología Industrial"/>
    <b v="0"/>
    <m/>
    <b v="1"/>
    <b v="1"/>
    <b v="1"/>
    <b v="1"/>
    <b v="1"/>
    <b v="0"/>
    <b v="0"/>
    <s v="Chief"/>
  </r>
  <r>
    <s v="Markel Perona Guerra"/>
    <n v="11"/>
    <s v="Hombre"/>
    <s v="Chief"/>
    <d v="2021-10-13T00:00:00"/>
    <d v="2022-11-20T00:00:00"/>
    <s v="79225903B"/>
    <x v="3"/>
    <m/>
    <s v="marpergue@gmail.com"/>
    <s v="FALTA"/>
    <s v="mperona001@ikasle.ehu.eus"/>
    <s v="mperona@biskyteam.com"/>
    <n v="626753444"/>
    <s v="MÁSTER"/>
    <s v="Máster en Ciencia y Tecnología Espacial"/>
    <m/>
    <b v="1"/>
    <s v="LinkedIn Markel Perona"/>
    <b v="1"/>
    <b v="1"/>
    <b v="1"/>
    <b v="1"/>
    <b v="1"/>
    <b v="1"/>
    <b v="0"/>
    <s v="Fase Pruebas"/>
  </r>
  <r>
    <s v="Mikel Elustondo Mancisidor"/>
    <n v="12"/>
    <s v="Hombre"/>
    <s v="Chief / Project Manager"/>
    <d v="2021-10-13T00:00:00"/>
    <m/>
    <s v="73037061D"/>
    <x v="0"/>
    <m/>
    <s v="me.elustondo@gmail.com"/>
    <s v="FALTA"/>
    <s v="melustondo003@ikasle.ehu.eus"/>
    <s v="melustondo@biskyteam.com"/>
    <n v="619425918"/>
    <s v="MÁSTER"/>
    <s v="Máster en Sistemas Electrónicos Avanzados"/>
    <s v="Grado en Ingeniería Electrónica Industrial y Automática"/>
    <b v="0"/>
    <s v="Linkedin Mikel Elustondo"/>
    <b v="1"/>
    <b v="1"/>
    <b v="1"/>
    <b v="1"/>
    <b v="1"/>
    <b v="1"/>
    <b v="0"/>
    <s v="Chief / Project Manager"/>
  </r>
  <r>
    <s v="Victoria Barahona Campo"/>
    <n v="13"/>
    <s v="Mujer"/>
    <s v="Technical"/>
    <d v="2021-10-13T00:00:00"/>
    <d v="2022-11-20T00:00:00"/>
    <s v="79117106G"/>
    <x v="3"/>
    <m/>
    <s v="vickybcu@gmail.com"/>
    <s v="FALTA"/>
    <s v="Vbarahona001@ikasle.ehu.eus"/>
    <s v="vbarahona@biskyteam.com"/>
    <n v="688873991"/>
    <s v="GRADO"/>
    <s v="Grado en Ingeniería en Tecnología Industrial"/>
    <m/>
    <b v="0"/>
    <m/>
    <b v="1"/>
    <b v="1"/>
    <b v="1"/>
    <b v="1"/>
    <b v="1"/>
    <b v="0"/>
    <b v="0"/>
    <s v="Fase Pruebas"/>
  </r>
  <r>
    <s v="Mario Casquete De la Puente"/>
    <n v="14"/>
    <s v="Hombre"/>
    <s v="Project Manager"/>
    <d v="2022-05-10T00:00:00"/>
    <m/>
    <s v="79046850J"/>
    <x v="4"/>
    <m/>
    <s v="mariocasqueteupv@gmail.com"/>
    <s v="FALTA"/>
    <s v="mcasquete001@ikasle.ehu.eus"/>
    <s v="mcasquete@biskyteam.com"/>
    <n v="617137417"/>
    <s v="GRADO"/>
    <s v="Grado en Ingeniería Mecánica"/>
    <m/>
    <b v="0"/>
    <s v="LinkedIn Mario Casquete"/>
    <b v="1"/>
    <b v="1"/>
    <b v="1"/>
    <b v="1"/>
    <b v="1"/>
    <b v="1"/>
    <b v="0"/>
    <s v="Project Manager"/>
  </r>
  <r>
    <s v="Iñigo Martínez Peña "/>
    <n v="15"/>
    <s v="Hombre"/>
    <s v="Project Manager"/>
    <d v="2022-10-10T00:00:00"/>
    <m/>
    <s v="16096386C "/>
    <x v="0"/>
    <m/>
    <s v="inigo9001@gmail.com "/>
    <s v="FALTA"/>
    <s v="imartinez280@ikasle.ehu.eus"/>
    <s v="imartinez@biskyteam.com"/>
    <n v="697561955"/>
    <s v="MÁSTER"/>
    <s v="Máster en Ingeniería de Control, Automatización y Robótica"/>
    <s v="Grado en Ingeniería Electrónica Industrial y Automática"/>
    <b v="0"/>
    <s v="Linkedin Iñigo Martinez"/>
    <b v="1"/>
    <b v="1"/>
    <b v="0"/>
    <b v="0"/>
    <b v="0"/>
    <b v="1"/>
    <b v="0"/>
    <s v="Fase Pruebas"/>
  </r>
  <r>
    <s v="Jon Ander Pacho Garcia"/>
    <n v="16"/>
    <s v="Hombre"/>
    <s v="Member"/>
    <d v="2022-10-10T00:00:00"/>
    <m/>
    <s v="79364138Q"/>
    <x v="0"/>
    <m/>
    <s v="jonanpatxo@gmail.com"/>
    <s v="FALTA"/>
    <s v="jpacho005@ikasle.ehu.eus"/>
    <s v="japacho@biskyteam.com"/>
    <n v="640281841"/>
    <s v="GRADO"/>
    <s v="Grado en Ingeniería Electrónica Industrial y Automática"/>
    <m/>
    <b v="0"/>
    <m/>
    <b v="1"/>
    <b v="1"/>
    <b v="0"/>
    <b v="0"/>
    <b v="0"/>
    <b v="0"/>
    <b v="0"/>
    <s v="Fase Pruebas"/>
  </r>
  <r>
    <s v="Mikel Frutes Pacheco"/>
    <n v="17"/>
    <s v="Hombre"/>
    <s v="Technical"/>
    <d v="2022-10-10T00:00:00"/>
    <m/>
    <s v="78993273A"/>
    <x v="0"/>
    <m/>
    <s v="urquetin@gmail.com"/>
    <s v="FALTA"/>
    <s v="mfrutes001@ikasle.ehu.eus"/>
    <s v="mfrutes@biskyteam.com"/>
    <n v="688866012"/>
    <s v="GRADO"/>
    <s v="Grado en Ingeniería Electrónica Industrial y Automática"/>
    <m/>
    <b v="0"/>
    <m/>
    <b v="1"/>
    <b v="1"/>
    <b v="0"/>
    <b v="0"/>
    <b v="0"/>
    <b v="0"/>
    <b v="0"/>
    <s v="Fase Pruebas"/>
  </r>
  <r>
    <s v="Imanol Cornejo Fernandez"/>
    <n v="18"/>
    <s v="Hombre"/>
    <s v="Member"/>
    <d v="2022-10-18T00:00:00"/>
    <m/>
    <s v="16107767Q"/>
    <x v="5"/>
    <s v="Propulsion"/>
    <s v="Imanol.cornejobt@gmail.com"/>
    <s v="FALTA"/>
    <s v="icornejo002@ikasle.ehu.eus"/>
    <s v="icornejo@biskyteam.com"/>
    <n v="633279950"/>
    <s v="GRADO"/>
    <s v="Grado en Ingeniería en Tecnología Industrial"/>
    <m/>
    <b v="0"/>
    <m/>
    <b v="1"/>
    <b v="1"/>
    <b v="0"/>
    <b v="0"/>
    <b v="0"/>
    <b v="0"/>
    <b v="0"/>
    <s v="Fase Pruebas"/>
  </r>
  <r>
    <s v="Juan Bilbao Pazos"/>
    <n v="19"/>
    <s v="Hombre"/>
    <s v="Chief"/>
    <d v="2022-10-18T00:00:00"/>
    <m/>
    <s v="16102890S"/>
    <x v="5"/>
    <s v="Flight Control &amp; Simulation"/>
    <s v="Juanbilbaopazos@gmail.com"/>
    <s v="FALTA"/>
    <s v="jbilbao112@ikasle.ehu.eus"/>
    <s v="jbilbao@biskyteam.com"/>
    <n v="688723130"/>
    <s v="GRADO"/>
    <s v="Grado en Ingeniería en Tecnología Industrial"/>
    <m/>
    <b v="0"/>
    <m/>
    <b v="1"/>
    <b v="1"/>
    <b v="0"/>
    <b v="0"/>
    <b v="0"/>
    <b v="1"/>
    <b v="0"/>
    <s v="Fase Pruebas"/>
  </r>
  <r>
    <s v="Maialen Jaureguibeitia Landeta"/>
    <n v="20"/>
    <s v="Mujer"/>
    <s v="Member"/>
    <d v="2022-11-10T00:00:00"/>
    <d v="2022-12-01T00:00:00"/>
    <s v="79231443P"/>
    <x v="1"/>
    <m/>
    <s v="m.jlandeta99@gmail.com"/>
    <s v="FALTA"/>
    <s v="mjaureguibeiti001@ikasle.ehu.eus"/>
    <s v="mjaureguibeitia@biskyteam.com"/>
    <n v="697939075"/>
    <s v="MÁSTER"/>
    <s v="Máster en Ingeniería de Control, Automatización y Robótica"/>
    <s v="Grado en Ingeniería Electrónica Industrial y Automática"/>
    <b v="0"/>
    <s v="LinkedIn Maialen Jaureguibeitia"/>
    <b v="1"/>
    <b v="1"/>
    <b v="1"/>
    <b v="1"/>
    <b v="1"/>
    <b v="0"/>
    <b v="0"/>
    <s v="Miembro"/>
  </r>
  <r>
    <s v="Xabier Martínez Guevara"/>
    <n v="21"/>
    <s v="Hombre"/>
    <s v="Technical"/>
    <d v="2022-12-05T00:00:00"/>
    <m/>
    <s v="20975261C"/>
    <x v="4"/>
    <m/>
    <s v="xabiermgp@gmail.com"/>
    <s v="FALTA"/>
    <s v="xmartinez023@ikasle.ehu.eus"/>
    <s v="xmartinez@biskyteam.com"/>
    <n v="625295113"/>
    <s v="GRADO"/>
    <s v="Grado en Ingeniería Mecánica"/>
    <m/>
    <b v="0"/>
    <s v="LinkedIn Xabier Martinez"/>
    <b v="1"/>
    <b v="1"/>
    <b v="1"/>
    <b v="1"/>
    <b v="1"/>
    <b v="1"/>
    <b v="1"/>
    <s v="Project Manager"/>
  </r>
  <r>
    <s v="Xabier Millan Cavadas"/>
    <n v="22"/>
    <s v="Hombre"/>
    <s v="Chief / Project Manager"/>
    <d v="2022-12-05T00:00:00"/>
    <m/>
    <s v="79143886N"/>
    <x v="4"/>
    <m/>
    <s v="reibax111@gmail.com"/>
    <s v="FALTA"/>
    <s v="xmillan001@ikasle.ehu.eus"/>
    <s v="xmillan@biskyteam.com"/>
    <n v="616149530"/>
    <s v="GRADO"/>
    <s v="Grado en Ingeniería en Tecnología Industrial"/>
    <m/>
    <b v="0"/>
    <s v="LinkedIn Xabier Millán"/>
    <b v="1"/>
    <b v="1"/>
    <b v="1"/>
    <b v="1"/>
    <b v="1"/>
    <b v="1"/>
    <b v="1"/>
    <s v="Project Manager"/>
  </r>
  <r>
    <s v="Gorka Grijalba Barrañana"/>
    <n v="23"/>
    <s v="Hombre"/>
    <s v="Member"/>
    <d v="2023-03-30T00:00:00"/>
    <d v="2023-05-27T00:00:00"/>
    <s v="79077621X"/>
    <x v="1"/>
    <m/>
    <s v="gorka.gb.0602@gmail.com"/>
    <s v="FALTA"/>
    <s v="ggrijalba002@ikasle.ehu.eus"/>
    <s v="ggrijalba@biskyteam.com"/>
    <n v="611440700"/>
    <s v="GRADO"/>
    <s v="Grado en Ingeniería Electrónica Industrial y Automática"/>
    <m/>
    <b v="0"/>
    <s v="LinkeIn Gorka Grijalba"/>
    <b v="1"/>
    <b v="1"/>
    <b v="1"/>
    <b v="1"/>
    <b v="1"/>
    <b v="0"/>
    <b v="0"/>
    <s v="Miembro"/>
  </r>
  <r>
    <s v="Roberto Carmona Goicoechea"/>
    <n v="24"/>
    <s v="Hombre"/>
    <s v="Technical"/>
    <d v="2023-03-30T00:00:00"/>
    <d v="2023-05-25T00:00:00"/>
    <s v="46367692Z"/>
    <x v="1"/>
    <m/>
    <s v="robertocarmona2000@gmail.com"/>
    <s v="FALTA"/>
    <s v="rcarmona006@ikasle.ehu.eus"/>
    <s v="rcarmona@biskyteam.com"/>
    <n v="629773745"/>
    <s v="GRADO"/>
    <s v="Grado en Ingeniería Electrónica Industrial y Automática"/>
    <m/>
    <b v="0"/>
    <s v="LinkedIn Roberto Carmona"/>
    <b v="1"/>
    <b v="1"/>
    <b v="1"/>
    <b v="1"/>
    <b v="1"/>
    <b v="0"/>
    <b v="0"/>
    <s v="Technical"/>
  </r>
  <r>
    <s v="Anne Cuevas Molinos"/>
    <n v="25"/>
    <s v="Mujer"/>
    <s v="Member"/>
    <d v="2023-09-14T00:00:00"/>
    <d v="2023-10-24T00:00:00"/>
    <s v="79077231B"/>
    <x v="4"/>
    <m/>
    <s v="annecuevas2015@gmail.com"/>
    <s v="FALTA"/>
    <s v="acuevas015@ikasle.ehu.eus"/>
    <s v="acuevas@biskyteam.com"/>
    <n v="688631449"/>
    <s v="GRADO"/>
    <s v="Grado en Ingeniería Mecánica"/>
    <m/>
    <b v="0"/>
    <m/>
    <b v="1"/>
    <b v="1"/>
    <b v="1"/>
    <b v="1"/>
    <b v="1"/>
    <b v="1"/>
    <b v="0"/>
    <s v="Fase Pruebas"/>
  </r>
  <r>
    <s v="Adair Gondan Alonso"/>
    <n v="26"/>
    <s v="Hombre"/>
    <s v="Technical"/>
    <d v="2023-10-03T00:00:00"/>
    <m/>
    <s v="22762901P"/>
    <x v="0"/>
    <m/>
    <m/>
    <s v="FALTA"/>
    <s v="agondan001@ikasle.ehu.eus"/>
    <s v="agondan@biskyteam.com"/>
    <n v="684219337"/>
    <s v="GRADO"/>
    <s v="Grado en Ingeniería Informática de Gestión y Sistemas de Información"/>
    <m/>
    <b v="0"/>
    <m/>
    <b v="1"/>
    <b v="1"/>
    <b v="0"/>
    <b v="0"/>
    <b v="0"/>
    <b v="0"/>
    <b v="0"/>
    <s v="Fase Pruebas"/>
  </r>
  <r>
    <s v="Ainara Gurtubay Miguel"/>
    <n v="27"/>
    <s v="Mujer"/>
    <s v="Technical"/>
    <d v="2023-10-03T00:00:00"/>
    <m/>
    <s v="79143294H"/>
    <x v="0"/>
    <m/>
    <s v="ainaragurtubay1@gmail.com"/>
    <s v="FALTA"/>
    <s v="agurtubay005@ikasle.ehu.eus"/>
    <s v="agurtubay@biskyteam.com"/>
    <n v="688801224"/>
    <s v="MÁSTER"/>
    <s v="Máster en Ingeniería de Telecomunicación"/>
    <s v="Grado en Ingeniería en Tecnología de Telecomunicación"/>
    <b v="0"/>
    <m/>
    <b v="1"/>
    <b v="1"/>
    <b v="0"/>
    <b v="0"/>
    <b v="0"/>
    <b v="0"/>
    <b v="0"/>
    <s v="Fase Pruebas"/>
  </r>
  <r>
    <s v="Erik Rojas Uribe-Echebarría "/>
    <n v="28"/>
    <s v="Hombre"/>
    <s v="Technical"/>
    <d v="2023-03-10T00:00:00"/>
    <d v="2024-04-10T00:00:00"/>
    <s v="16096494J"/>
    <x v="2"/>
    <m/>
    <s v="Erikrojasue@gmail.com"/>
    <s v="FALTA"/>
    <s v="erojas007@ikasle.ehu.eus"/>
    <s v="erojas@biskyteam.com"/>
    <n v="609230809"/>
    <s v="GRADO"/>
    <s v="Grado en Ingeniería Mecánica"/>
    <m/>
    <b v="0"/>
    <s v="LinkedIn Erik Rojas"/>
    <b v="1"/>
    <b v="1"/>
    <b v="1"/>
    <b v="1"/>
    <b v="1"/>
    <b v="1"/>
    <b v="0"/>
    <s v="Fase Pruebas"/>
  </r>
  <r>
    <s v="Imanol Martínez Macho"/>
    <n v="29"/>
    <s v="Hombre"/>
    <s v="Technical"/>
    <d v="2023-10-03T00:00:00"/>
    <m/>
    <s v="46368446D"/>
    <x v="0"/>
    <m/>
    <s v="imanolm.upv@gmail.com"/>
    <s v="FALTA"/>
    <s v="imartinez303@ikasle.ehu.eus"/>
    <s v="immartinez@biskyteam.com"/>
    <n v="684024181"/>
    <s v="GRADO"/>
    <s v="Grado en Ingeniería Informática de Gestión y Sistemas de Información"/>
    <m/>
    <b v="0"/>
    <m/>
    <b v="1"/>
    <b v="1"/>
    <b v="0"/>
    <b v="0"/>
    <b v="0"/>
    <b v="0"/>
    <b v="0"/>
    <s v="Fase Pruebas"/>
  </r>
  <r>
    <s v="Jon Secada Martinez"/>
    <n v="30"/>
    <s v="Hombre"/>
    <s v="Chief"/>
    <d v="2023-03-10T00:00:00"/>
    <d v="2024-04-10T00:00:00"/>
    <s v="79114644A"/>
    <x v="2"/>
    <m/>
    <s v="jonsm2002@gmail.com"/>
    <s v="FALTA"/>
    <s v="jsecada001@ikasle.ehu.eus"/>
    <s v="jsecada@biskyteam.com"/>
    <n v="688890723"/>
    <s v="GRADO"/>
    <s v="Grado en Ingeniería en Tecnología Industrial"/>
    <m/>
    <b v="0"/>
    <s v="LinkedIn Jon Secada"/>
    <b v="1"/>
    <b v="1"/>
    <b v="1"/>
    <b v="1"/>
    <b v="1"/>
    <b v="1"/>
    <b v="0"/>
    <s v="Project Manager"/>
  </r>
  <r>
    <s v="Diego Yannick Fonseca Alvarez"/>
    <n v="31"/>
    <s v="Hombre"/>
    <s v="Technical"/>
    <d v="2023-10-11T00:00:00"/>
    <d v="2024-06-02T00:00:00"/>
    <s v="72103251E"/>
    <x v="1"/>
    <m/>
    <s v="diru1618@gmail.com"/>
    <s v="FALTA"/>
    <s v="dfonseca002@ikasle.ehu.eus"/>
    <s v="dfonseca@biskyteam.com"/>
    <n v="692591376"/>
    <s v="GRADO"/>
    <s v="Doble Grado en Física e Ingeniería Electrónica"/>
    <m/>
    <b v="0"/>
    <s v="LinkedIn Diego Fonseca"/>
    <b v="1"/>
    <b v="1"/>
    <b v="1"/>
    <b v="1"/>
    <b v="1"/>
    <b v="0"/>
    <b v="0"/>
    <s v="Technical"/>
  </r>
  <r>
    <s v="Eneko González Hernández"/>
    <n v="32"/>
    <s v="Hombre"/>
    <s v="Technical"/>
    <d v="2023-10-11T00:00:00"/>
    <d v="2023-12-31T00:00:00"/>
    <s v="79115862W"/>
    <x v="3"/>
    <m/>
    <s v="enekogonzalez73@gmail.com"/>
    <s v="FALTA"/>
    <s v="egonzalez194@ikasle.ehu.eus"/>
    <s v="egonzalez@biskyteam.com"/>
    <n v="688849281"/>
    <s v="GRADO"/>
    <s v="Grado en Ingeniería Mecánica"/>
    <m/>
    <b v="0"/>
    <m/>
    <b v="1"/>
    <b v="1"/>
    <b v="1"/>
    <b v="1"/>
    <b v="1"/>
    <b v="0"/>
    <b v="0"/>
    <s v="Fase Pruebas"/>
  </r>
  <r>
    <s v="Eneko Lambea Villar"/>
    <n v="33"/>
    <s v="Hombre"/>
    <s v="Member"/>
    <d v="2023-10-11T00:00:00"/>
    <d v="2023-12-11T00:00:00"/>
    <s v="16094327P"/>
    <x v="3"/>
    <m/>
    <s v="enekolamvi@gmail.com"/>
    <s v="FALTA"/>
    <s v="elambea001@ikasle.ehu.eus"/>
    <s v="elambea@biskyteam.com"/>
    <n v="655583592"/>
    <s v="GRADO"/>
    <s v="Doble grado en Fisica e Ingenieria Electronica"/>
    <m/>
    <b v="0"/>
    <m/>
    <b v="1"/>
    <b v="1"/>
    <b v="1"/>
    <b v="1"/>
    <b v="1"/>
    <b v="0"/>
    <b v="0"/>
    <s v="Fase Pruebas"/>
  </r>
  <r>
    <s v="Patricia Carballo Iglesias"/>
    <n v="34"/>
    <s v="Mujer"/>
    <s v="Member"/>
    <d v="2023-10-11T00:00:00"/>
    <d v="2024-02-06T00:00:00"/>
    <s v="78997905N"/>
    <x v="1"/>
    <m/>
    <s v="Pcarballo2002@gmail.com"/>
    <s v="FALTA"/>
    <s v="pcarballo006@ikasle.ehu.eus"/>
    <s v="pcarballo@biskyteam.com"/>
    <n v="647997181"/>
    <s v="GRADO"/>
    <s v="Grado en Ingeniería Electrónica Industrial y Automática"/>
    <m/>
    <b v="0"/>
    <s v="LinkedIn Patricia Carballo"/>
    <b v="1"/>
    <b v="1"/>
    <b v="1"/>
    <b v="1"/>
    <b v="1"/>
    <b v="0"/>
    <b v="0"/>
    <s v="Miembro"/>
  </r>
  <r>
    <s v="Ana Victoria Almaraz Ibáñez"/>
    <n v="35"/>
    <s v="Mujer"/>
    <s v="Member"/>
    <d v="2023-10-16T00:00:00"/>
    <d v="2024-01-10T00:00:00"/>
    <s v="79364834E "/>
    <x v="2"/>
    <m/>
    <s v="victoriaibalma@gmail.com  "/>
    <s v="FALTA"/>
    <s v="aalmaraz003@ikasle.ehu.eus"/>
    <s v="valmaraz@biskyteam.com"/>
    <n v="646735893"/>
    <s v="GRADO"/>
    <s v="Grado en Física"/>
    <m/>
    <b v="0"/>
    <s v="LinkedIn Victoria Almaraz"/>
    <b v="1"/>
    <b v="1"/>
    <b v="1"/>
    <b v="1"/>
    <b v="1"/>
    <b v="1"/>
    <b v="0"/>
    <s v="Fase Pruebas"/>
  </r>
  <r>
    <s v="Ander Corral Marauri"/>
    <n v="36"/>
    <s v="Hombre"/>
    <s v="Member"/>
    <d v="2023-10-16T00:00:00"/>
    <d v="2023-11-28T00:00:00"/>
    <s v="79176512R"/>
    <x v="4"/>
    <m/>
    <s v="andercoma77@gmail.com"/>
    <s v="FALTA"/>
    <s v="acorral029@ikasle.ehu.eus"/>
    <s v="acorral@biskyteam.com"/>
    <n v="628012584"/>
    <s v="GRADO"/>
    <s v="Grado en Ingeniería en Tecnología Industrial"/>
    <m/>
    <b v="0"/>
    <m/>
    <b v="1"/>
    <b v="1"/>
    <b v="1"/>
    <b v="1"/>
    <b v="1"/>
    <b v="0"/>
    <b v="0"/>
    <s v="Fase Pruebas"/>
  </r>
  <r>
    <s v="Antoine Martinez Beau"/>
    <n v="37"/>
    <s v="Hombre"/>
    <s v="Member"/>
    <d v="2023-10-16T00:00:00"/>
    <d v="2023-12-05T00:00:00"/>
    <s v="71310621H"/>
    <x v="4"/>
    <m/>
    <s v="antoinemartinezbeau@gmail.com"/>
    <s v="FALTA"/>
    <s v="amartinez485@ikasle.ehu.eus"/>
    <s v="amartinez@biskyteam.com"/>
    <n v="664517362"/>
    <s v="GRADO"/>
    <s v="Grado en Ingeniería Mecánica"/>
    <m/>
    <b v="0"/>
    <m/>
    <b v="1"/>
    <b v="1"/>
    <b v="1"/>
    <b v="1"/>
    <b v="1"/>
    <b v="1"/>
    <b v="0"/>
    <s v="Fase Pruebas"/>
  </r>
  <r>
    <s v="Asier Azconobieta Rodrigo"/>
    <n v="38"/>
    <s v="Hombre"/>
    <s v="Member"/>
    <d v="2023-10-16T00:00:00"/>
    <d v="2024-06-02T00:00:00"/>
    <s v="79296680V"/>
    <x v="4"/>
    <m/>
    <m/>
    <s v="FALTA"/>
    <s v="aazconobieta002@ikasle.ehu.eus"/>
    <s v="aazconobieta@biskyteam.com"/>
    <n v="628539285"/>
    <s v="MÁSTER"/>
    <s v="Máster en Ingeniería Industrial"/>
    <s v="Grado en Ingeniería en Tecnología Industrial"/>
    <b v="0"/>
    <m/>
    <b v="1"/>
    <b v="1"/>
    <b v="1"/>
    <b v="1"/>
    <b v="1"/>
    <b v="1"/>
    <b v="0"/>
    <s v="Fase Pruebas"/>
  </r>
  <r>
    <s v="Carla Rae Piercey Gonzalez"/>
    <n v="39"/>
    <s v="Mujer"/>
    <s v="Technical"/>
    <d v="2023-10-16T00:00:00"/>
    <d v="2023-12-31T00:00:00"/>
    <s v="79295727F"/>
    <x v="4"/>
    <m/>
    <s v="carlaraepiercey@gmail.com"/>
    <s v="FALTA"/>
    <s v="cpiercey001@ikasle.ehu.eus"/>
    <s v="cpiercey@biskyteam.com"/>
    <n v="655576964"/>
    <s v="GRADO"/>
    <s v="Grado en Ingeniería Mecánica"/>
    <m/>
    <b v="0"/>
    <s v="Linkedin Carla Piercey"/>
    <b v="1"/>
    <b v="1"/>
    <b v="1"/>
    <b v="1"/>
    <b v="1"/>
    <b v="1"/>
    <b v="0"/>
    <s v="Fase Pruebas"/>
  </r>
  <r>
    <s v="Leire Garcia Goyoaga"/>
    <n v="40"/>
    <s v="Mujer"/>
    <s v="Technical"/>
    <d v="2023-10-16T00:00:00"/>
    <d v="2023-11-27T00:00:00"/>
    <s v="79226193W"/>
    <x v="0"/>
    <m/>
    <s v="leiregarciagoyoaga@gmail.com"/>
    <s v="FALTA"/>
    <s v="lgarcia246@ikasle.ehu.eus"/>
    <s v="lgarcia@biskyteam.com"/>
    <n v="688639447"/>
    <s v="GRADO"/>
    <s v="Grado en Física"/>
    <m/>
    <b v="0"/>
    <m/>
    <b v="1"/>
    <b v="1"/>
    <b v="0"/>
    <b v="0"/>
    <b v="0"/>
    <b v="0"/>
    <b v="0"/>
    <s v="Fase Pruebas"/>
  </r>
  <r>
    <s v="Maider Tejada Ruiz de Alegría"/>
    <n v="41"/>
    <s v="Mujer"/>
    <s v="Member"/>
    <d v="2023-10-16T00:00:00"/>
    <d v="2024-01-10T00:00:00"/>
    <s v="72850433A"/>
    <x v="2"/>
    <m/>
    <s v="maidertr@gmail.com"/>
    <s v="FALTA"/>
    <s v="mtejada003@ikasle.ehu.eus"/>
    <s v="mtejada@biskyteam.com"/>
    <n v="634271868"/>
    <s v="GRADO"/>
    <s v="Grado en Física"/>
    <m/>
    <b v="1"/>
    <s v="LinkedIn Maider Tejada"/>
    <b v="1"/>
    <b v="1"/>
    <b v="1"/>
    <b v="1"/>
    <b v="1"/>
    <b v="1"/>
    <b v="0"/>
    <s v="Fase Pruebas"/>
  </r>
  <r>
    <s v="Nerea Garmendia López de Robles "/>
    <n v="42"/>
    <s v="Mujer"/>
    <s v="Technical"/>
    <d v="2023-10-16T00:00:00"/>
    <d v="2024-01-10T00:00:00"/>
    <s v="53983623R"/>
    <x v="2"/>
    <m/>
    <s v="nereagldr@gmail.com"/>
    <s v="FALTA"/>
    <s v="ngarmendia022@ikasle.ehu.eus"/>
    <s v="ngarmendia@biskyteam.com"/>
    <n v="692934230"/>
    <s v="GRADO"/>
    <s v="Grado en Ingeniería Mecánica"/>
    <m/>
    <b v="0"/>
    <s v="LinkedIn Nerea Garmendia"/>
    <b v="1"/>
    <b v="1"/>
    <b v="1"/>
    <b v="1"/>
    <b v="1"/>
    <b v="1"/>
    <b v="0"/>
    <s v="Fase Pruebas"/>
  </r>
  <r>
    <s v="Mikel Rivera Guerrero"/>
    <n v="43"/>
    <s v="Hombre"/>
    <s v="Technical"/>
    <d v="2023-10-19T00:00:00"/>
    <d v="2024-01-19T00:00:00"/>
    <s v="79113393V"/>
    <x v="5"/>
    <m/>
    <s v="mikelrg2003@gmail.com "/>
    <s v="FALTA"/>
    <s v="gcastillo008@ikasle.ehu.eus"/>
    <s v="mrivera@biskyteam.com"/>
    <n v="688851580"/>
    <s v="GRADO"/>
    <s v="Grado en Ingeniería Informática de Gestión y Sistemas de Información"/>
    <m/>
    <b v="0"/>
    <m/>
    <b v="1"/>
    <b v="1"/>
    <b v="0"/>
    <b v="0"/>
    <b v="0"/>
    <b v="0"/>
    <b v="0"/>
    <s v="Fase Pruebas"/>
  </r>
  <r>
    <s v="Unai Moreno Urrea"/>
    <n v="44"/>
    <s v="Hombre"/>
    <s v="Technical"/>
    <d v="2023-10-19T00:00:00"/>
    <d v="2024-02-07T00:00:00"/>
    <s v="79241163E"/>
    <x v="5"/>
    <m/>
    <s v="unaimoreno36@gmail.com "/>
    <s v="FALTA"/>
    <m/>
    <m/>
    <n v="688683093"/>
    <s v="GRADO"/>
    <s v="Grado en Publicidad y Relaciones Públicas"/>
    <m/>
    <b v="0"/>
    <m/>
    <b v="1"/>
    <b v="1"/>
    <b v="0"/>
    <b v="0"/>
    <b v="0"/>
    <b v="0"/>
    <b v="0"/>
    <s v="Fase Pruebas"/>
  </r>
  <r>
    <s v="Goizane Castillo Aranaga"/>
    <n v="45"/>
    <s v="Mujer"/>
    <s v="Technical"/>
    <d v="2023-10-24T00:00:00"/>
    <d v="2024-01-31T00:00:00"/>
    <s v="79399407A"/>
    <x v="5"/>
    <m/>
    <m/>
    <s v="FALTA"/>
    <s v="gcastillo008@ikasle.ehu.eus"/>
    <m/>
    <m/>
    <s v="GRADO"/>
    <m/>
    <m/>
    <b v="0"/>
    <m/>
    <b v="1"/>
    <b v="1"/>
    <b v="0"/>
    <b v="0"/>
    <b v="0"/>
    <b v="0"/>
    <b v="0"/>
    <s v="Fase Pruebas"/>
  </r>
  <r>
    <s v="Ekaitz Ungo Ruiz"/>
    <n v="46"/>
    <s v="Hombre"/>
    <s v="Technical"/>
    <d v="2024-02-23T00:00:00"/>
    <d v="2024-03-15T00:00:00"/>
    <s v="46374272Q"/>
    <x v="3"/>
    <m/>
    <s v="ekaitzungo@gmail.com"/>
    <s v="FALTA"/>
    <s v="eungo001@ikasle.ehu.eus"/>
    <s v="eungo@biskyteam.com"/>
    <n v="660435252"/>
    <s v="GRADO"/>
    <s v="Grado en Ingeniería Química"/>
    <m/>
    <b v="0"/>
    <m/>
    <b v="1"/>
    <b v="1"/>
    <b v="0"/>
    <b v="1"/>
    <b v="1"/>
    <b v="0"/>
    <b v="0"/>
    <s v="Fase Pruebas"/>
  </r>
  <r>
    <s v="Mikel Sobrevilla Santa Maria"/>
    <n v="47"/>
    <s v="Hombre"/>
    <s v="Member"/>
    <d v="2024-04-12T00:00:00"/>
    <d v="2024-07-19T00:00:00"/>
    <s v="79243683N"/>
    <x v="0"/>
    <m/>
    <s v="sobremikel@gmail.com"/>
    <s v="FALTA"/>
    <s v="msobrevilla001@ikasle.ehu.eus"/>
    <m/>
    <n v="616844203"/>
    <s v="GRADO"/>
    <m/>
    <m/>
    <b v="0"/>
    <m/>
    <b v="0"/>
    <b v="1"/>
    <b v="0"/>
    <b v="0"/>
    <b v="0"/>
    <b v="0"/>
    <b v="0"/>
    <s v="Sin Rol"/>
  </r>
  <r>
    <s v="Omar Alonso Quinto"/>
    <n v="48"/>
    <s v="Hombre"/>
    <s v="Member"/>
    <d v="2024-04-12T00:00:00"/>
    <d v="2024-07-17T00:00:00"/>
    <n v="118473446"/>
    <x v="0"/>
    <m/>
    <m/>
    <s v="FALTA"/>
    <s v="oquinto001@ikasle.ehu.eus"/>
    <m/>
    <n v="632160879"/>
    <s v="GRADO"/>
    <m/>
    <m/>
    <b v="0"/>
    <m/>
    <b v="1"/>
    <b v="1"/>
    <b v="0"/>
    <b v="0"/>
    <b v="0"/>
    <b v="0"/>
    <b v="0"/>
    <s v="Sin Rol"/>
  </r>
  <r>
    <s v="Markel Corchado Barbero"/>
    <n v="49"/>
    <s v="Hombre"/>
    <s v="Member"/>
    <d v="2024-04-17T00:00:00"/>
    <d v="2024-10-17T00:00:00"/>
    <s v="45949167C"/>
    <x v="0"/>
    <m/>
    <m/>
    <m/>
    <s v="mcorchado002@ikasle.ehu.eus"/>
    <s v="mcorchado@biskyteam.com"/>
    <n v="671303317"/>
    <s v="GRADO"/>
    <m/>
    <m/>
    <m/>
    <m/>
    <b v="1"/>
    <b v="1"/>
    <m/>
    <m/>
    <m/>
    <m/>
    <m/>
    <s v="Sin Rol"/>
  </r>
  <r>
    <s v="Jon Ander Sánchez Hernández "/>
    <n v="50"/>
    <s v="Hombre"/>
    <s v="Member"/>
    <d v="2024-07-02T00:00:00"/>
    <d v="2024-09-10T00:00:00"/>
    <s v="16095694H"/>
    <x v="3"/>
    <m/>
    <s v="jonander_03@hotmail.com"/>
    <s v="FALTA"/>
    <s v="jsanchez158@ikasle.ehu.eus"/>
    <s v="jasanchez@biskyteam.com"/>
    <n v="618539541"/>
    <s v="GRADO"/>
    <s v="Grado en Ingeniería en Tecnología Industrial"/>
    <m/>
    <b v="0"/>
    <m/>
    <b v="1"/>
    <b v="1"/>
    <b v="1"/>
    <b v="1"/>
    <b v="0"/>
    <b v="0"/>
    <b v="0"/>
    <s v="Fase Pruebas"/>
  </r>
  <r>
    <s v="Raúl Marcos Sáenz del Burgo"/>
    <n v="51"/>
    <s v="Hombre"/>
    <s v="Member"/>
    <d v="2024-07-02T00:00:00"/>
    <d v="2024-09-10T00:00:00"/>
    <s v="79230929T"/>
    <x v="3"/>
    <m/>
    <s v="raul.msdb@gmail.com"/>
    <s v="FALTA"/>
    <s v="rmarcos010@ikasle.ehu.eus"/>
    <s v="rmsaez@biskyteam.com"/>
    <n v="634823511"/>
    <s v="GRADO"/>
    <s v="Grado en Ingeniería en Tecnología Industrial"/>
    <m/>
    <b v="0"/>
    <m/>
    <b v="1"/>
    <b v="1"/>
    <b v="1"/>
    <b v="1"/>
    <b v="0"/>
    <b v="0"/>
    <b v="0"/>
    <s v="Fase Pruebas"/>
  </r>
  <r>
    <s v="Alba Hernandez Amador"/>
    <n v="52"/>
    <s v="Mujer"/>
    <s v="Member"/>
    <d v="2024-10-31T00:00:00"/>
    <d v="2024-12-03T00:00:00"/>
    <s v="74445010J"/>
    <x v="4"/>
    <m/>
    <m/>
    <s v="FALTA"/>
    <s v="ahernandez205@ikasle.ehu.eus"/>
    <s v="ahernandez@biskyteam.com"/>
    <n v="620325417"/>
    <s v="MÁSTER"/>
    <m/>
    <s v="Grado en Ingeniería Aeroespacial"/>
    <b v="0"/>
    <m/>
    <b v="1"/>
    <b v="1"/>
    <b v="0"/>
    <b v="1"/>
    <b v="0"/>
    <b v="0"/>
    <b v="0"/>
    <s v="Sin Rol"/>
  </r>
  <r>
    <s v="Andreea Pop Dinca"/>
    <n v="53"/>
    <s v="Mujer"/>
    <s v="Member"/>
    <d v="2024-10-31T00:00:00"/>
    <d v="2024-12-03T00:00:00"/>
    <s v="71798274W"/>
    <x v="4"/>
    <m/>
    <m/>
    <s v="FALTA"/>
    <s v="apop002@ikasle.ehu.eus"/>
    <s v="apop@biskyteam.com"/>
    <n v="622050014"/>
    <s v="GRADO"/>
    <s v="Grado en Ingeniería en Tecnología Industrial"/>
    <m/>
    <b v="0"/>
    <m/>
    <b v="1"/>
    <b v="1"/>
    <b v="0"/>
    <b v="1"/>
    <b v="0"/>
    <b v="0"/>
    <b v="0"/>
    <s v="Sin Rol"/>
  </r>
  <r>
    <s v="Asier López Barrio"/>
    <n v="54"/>
    <s v="Hombre"/>
    <s v="Member"/>
    <d v="2024-10-31T00:00:00"/>
    <d v="2024-12-05T00:00:00"/>
    <s v="79046350L"/>
    <x v="1"/>
    <m/>
    <s v="asier.lopez454@gmail.com"/>
    <s v="FALTA"/>
    <s v="alopez572@ikasle.ehu.eus"/>
    <s v="alopez@biskyteam.com"/>
    <n v="644307237"/>
    <s v="GRADO"/>
    <s v="Grado en Ingeniería Informática de Gestión y Sistemas de Información"/>
    <m/>
    <b v="0"/>
    <m/>
    <b v="1"/>
    <b v="1"/>
    <b v="0"/>
    <b v="1"/>
    <b v="0"/>
    <b v="0"/>
    <b v="0"/>
    <s v="Miembro"/>
  </r>
  <r>
    <s v="Fabián Bedia García"/>
    <n v="55"/>
    <s v="Hombre"/>
    <s v="Member"/>
    <d v="2024-10-31T00:00:00"/>
    <d v="2024-12-05T00:00:00"/>
    <s v="54472915Z"/>
    <x v="1"/>
    <m/>
    <s v="fabianbedia06@gmail.com"/>
    <s v="FALTA"/>
    <s v="fbedia001@ikasle.ehu.eus"/>
    <s v="fbedia@biskyteam.com"/>
    <n v="644731243"/>
    <s v="GRADO"/>
    <s v="Grado en Ingeniería en Tecnología de Telecomunicación"/>
    <m/>
    <b v="0"/>
    <m/>
    <b v="1"/>
    <b v="1"/>
    <b v="0"/>
    <b v="1"/>
    <b v="0"/>
    <b v="0"/>
    <b v="0"/>
    <s v="Miembro"/>
  </r>
  <r>
    <s v="Hernán Marcos Serna"/>
    <n v="56"/>
    <s v="Hombre"/>
    <s v="Member"/>
    <d v="2024-10-31T00:00:00"/>
    <d v="2024-12-05T00:00:00"/>
    <s v="79457020R"/>
    <x v="1"/>
    <m/>
    <s v="hernanmarcosserna@gmail.com"/>
    <s v="FALTA"/>
    <s v="hmarcos005@ikasle.ehu.eus"/>
    <s v="hmarcos@biskyteam.com"/>
    <n v="634435114"/>
    <s v="GRADO"/>
    <s v="Grado en Ingeniería en Tecnología Industrial"/>
    <m/>
    <b v="0"/>
    <m/>
    <b v="1"/>
    <b v="1"/>
    <b v="0"/>
    <b v="1"/>
    <b v="0"/>
    <b v="0"/>
    <b v="0"/>
    <s v="Miembro"/>
  </r>
  <r>
    <s v="Ivan Lorenzo Romero"/>
    <n v="57"/>
    <s v="Hombre"/>
    <s v="Member"/>
    <d v="2024-10-31T00:00:00"/>
    <d v="2024-12-05T00:00:00"/>
    <s v="79131754R"/>
    <x v="0"/>
    <m/>
    <s v="lorenzoromeroivan@gmail.com"/>
    <s v="FALTA"/>
    <s v="ilorenzo017@ikasle.ehu.eus"/>
    <m/>
    <n v="634448354"/>
    <s v="GRADO"/>
    <m/>
    <m/>
    <m/>
    <m/>
    <b v="1"/>
    <b v="1"/>
    <m/>
    <m/>
    <m/>
    <m/>
    <m/>
    <s v="Sin Rol"/>
  </r>
  <r>
    <s v="Jon Urizar "/>
    <n v="58"/>
    <s v="Hombre"/>
    <s v="Member"/>
    <d v="2024-10-31T00:00:00"/>
    <d v="2024-12-06T00:00:00"/>
    <s v="79365073P"/>
    <x v="3"/>
    <m/>
    <s v="jon.u.dunabeitia@gmail.com"/>
    <s v="FALTA"/>
    <s v="jurizar005@ikasle.ehu.eus"/>
    <s v="jurizar@biskyteam.com"/>
    <n v="626731403"/>
    <s v="GRADO"/>
    <m/>
    <m/>
    <b v="0"/>
    <m/>
    <b v="1"/>
    <b v="1"/>
    <b v="1"/>
    <b v="0"/>
    <b v="0"/>
    <b v="0"/>
    <b v="0"/>
    <s v="Sin Rol"/>
  </r>
  <r>
    <s v="Jose Andrea Martinez Invernizzi"/>
    <n v="59"/>
    <s v="Hombre"/>
    <s v="Member"/>
    <d v="2024-10-31T00:00:00"/>
    <d v="2024-12-05T00:00:00"/>
    <s v="48770059P"/>
    <x v="0"/>
    <m/>
    <s v="pjami2005@gmail.com"/>
    <s v="FALTA"/>
    <s v="jmartinez312@ikasle.ehu.eus"/>
    <m/>
    <n v="644836422"/>
    <s v="GRADO"/>
    <s v="Grado en telecominaciones"/>
    <m/>
    <m/>
    <m/>
    <b v="1"/>
    <b v="1"/>
    <m/>
    <m/>
    <m/>
    <m/>
    <m/>
    <s v="Sin Rol"/>
  </r>
  <r>
    <s v="Mahmoud Gaafar"/>
    <n v="60"/>
    <s v="Hombre"/>
    <s v="Member"/>
    <d v="2024-10-31T00:00:00"/>
    <d v="2024-12-06T00:00:00"/>
    <s v="79173307Q"/>
    <x v="3"/>
    <m/>
    <s v="mahmoud.egipto@gmail.com"/>
    <s v="FALTA"/>
    <s v="mgaafar001@ikasle.ehu.eus"/>
    <s v="mgaafar@biskyteam.com"/>
    <n v="697946564"/>
    <s v="GRADO"/>
    <s v="Grado en Ingeniería Mecánica"/>
    <m/>
    <b v="0"/>
    <m/>
    <b v="1"/>
    <b v="1"/>
    <b v="1"/>
    <b v="0"/>
    <b v="0"/>
    <b v="0"/>
    <b v="0"/>
    <s v="Sin Rol"/>
  </r>
  <r>
    <s v="Maialen Davis Santiago"/>
    <n v="61"/>
    <s v="Mujer"/>
    <s v="Member"/>
    <d v="2024-10-31T00:00:00"/>
    <d v="2024-12-05T00:00:00"/>
    <s v="48680825Z"/>
    <x v="2"/>
    <m/>
    <s v="maialends42@gmail.com"/>
    <s v="FALTA"/>
    <s v="mdavis002@ikasle.ehu.eus"/>
    <s v="mdavis@biskyteam.com"/>
    <n v="635765819"/>
    <s v="GRADO"/>
    <s v="Grado en Física"/>
    <m/>
    <b v="0"/>
    <m/>
    <b v="1"/>
    <b v="1"/>
    <b v="1"/>
    <b v="1"/>
    <b v="0"/>
    <b v="0"/>
    <b v="0"/>
    <s v="Sin Rol"/>
  </r>
  <r>
    <s v="María López Martín"/>
    <n v="62"/>
    <s v="Mujer"/>
    <s v="Member"/>
    <d v="2024-10-31T00:00:00"/>
    <d v="2024-12-05T00:00:00"/>
    <s v="29623403R"/>
    <x v="1"/>
    <m/>
    <s v="malomar02@gmail.com"/>
    <s v="FALTA"/>
    <s v="mlopez388@ikasle.ehu.eus"/>
    <s v="mlopez@biskyteam.com"/>
    <n v="608561983"/>
    <s v="MÁSTER"/>
    <s v="Máster en Ciencia y Tecnología Espacial"/>
    <s v="Doble grado en Física y Matemáticas"/>
    <b v="0"/>
    <m/>
    <b v="1"/>
    <b v="1"/>
    <b v="0"/>
    <b v="1"/>
    <b v="0"/>
    <b v="0"/>
    <b v="0"/>
    <s v="Miembro"/>
  </r>
  <r>
    <s v="Markel Lacabe"/>
    <n v="63"/>
    <s v="Hombre"/>
    <s v="Member"/>
    <d v="2024-10-31T00:00:00"/>
    <d v="2024-12-05T00:00:00"/>
    <s v="79437271D"/>
    <x v="2"/>
    <m/>
    <s v="markel.lacabe1@gmail.com"/>
    <s v="FALTA"/>
    <s v="mlacabe002@ikasle.ehu.eus"/>
    <s v="mlacabe@biskyteam.com"/>
    <n v="688889016"/>
    <s v="GRADO"/>
    <s v="Doble Grado en Física e Ingeniería Electrónica"/>
    <m/>
    <b v="0"/>
    <m/>
    <b v="1"/>
    <b v="1"/>
    <b v="1"/>
    <b v="1"/>
    <b v="0"/>
    <b v="0"/>
    <b v="0"/>
    <s v="Sin Rol"/>
  </r>
  <r>
    <s v="Marta Gómez Fueyo"/>
    <n v="64"/>
    <s v="Mujer"/>
    <s v="Member"/>
    <d v="2024-10-31T00:00:00"/>
    <d v="2024-12-05T00:00:00"/>
    <s v="32729421F"/>
    <x v="1"/>
    <s v="Structure"/>
    <m/>
    <s v="FALTA"/>
    <s v="mgomez256@ikasle.ehu.eus"/>
    <s v="mgomez@biskyteam.com"/>
    <n v="617868066"/>
    <s v="MÁSTER"/>
    <s v="Máster en Ingeniería Mecánica"/>
    <s v="Grado en Ingeniería Mecánica"/>
    <b v="0"/>
    <m/>
    <b v="1"/>
    <b v="1"/>
    <b v="0"/>
    <b v="1"/>
    <b v="0"/>
    <b v="0"/>
    <b v="0"/>
    <s v="Miembro"/>
  </r>
  <r>
    <s v="Martina Olmos Murcia"/>
    <n v="65"/>
    <s v="Hombre"/>
    <s v="Member"/>
    <d v="2024-10-31T00:00:00"/>
    <d v="2024-12-06T00:00:00"/>
    <s v="23849328F"/>
    <x v="3"/>
    <m/>
    <s v="martinaolmosmurcia@gmail.com"/>
    <s v="FALTA"/>
    <s v="molmos004@ikasle.ehu.eus"/>
    <s v="molmos@biskyteam.com"/>
    <n v="603601213"/>
    <s v="GRADO"/>
    <s v="Grado en Ingeniería Química"/>
    <m/>
    <b v="0"/>
    <m/>
    <b v="1"/>
    <b v="1"/>
    <b v="1"/>
    <b v="0"/>
    <b v="0"/>
    <b v="0"/>
    <b v="0"/>
    <s v="Sin Rol"/>
  </r>
  <r>
    <s v="Mikel Laclau"/>
    <n v="66"/>
    <s v="Hombre"/>
    <s v="Member"/>
    <d v="2024-10-31T00:00:00"/>
    <d v="2024-12-06T00:00:00"/>
    <s v="45993413Z"/>
    <x v="3"/>
    <m/>
    <s v="laclaumikel@gmail.com"/>
    <s v="FALTA"/>
    <s v="mlaclau001@ikasle.ehu.eus"/>
    <s v="mlaclau@biskyteam.com"/>
    <n v="688916429"/>
    <s v="GRADO"/>
    <s v="Grado en Ingeniería Química"/>
    <m/>
    <b v="0"/>
    <m/>
    <b v="1"/>
    <b v="1"/>
    <b v="1"/>
    <b v="1"/>
    <b v="0"/>
    <b v="0"/>
    <b v="0"/>
    <s v="Sin Rol"/>
  </r>
  <r>
    <s v="Telmo Ubieta Urrutia"/>
    <n v="67"/>
    <s v="Hombre"/>
    <s v="Member"/>
    <d v="2024-10-31T00:00:00"/>
    <d v="2024-12-06T00:00:00"/>
    <s v="44568788D"/>
    <x v="5"/>
    <m/>
    <s v="telmoubietaurrutia@gmail.com"/>
    <s v="FALTA"/>
    <s v="tubieta001@ikasle.ehu.eus"/>
    <m/>
    <n v="688813567"/>
    <s v="GRADO"/>
    <s v="Grado en Ingeniería en Tecnología de Telecomunicación"/>
    <m/>
    <b v="0"/>
    <s v="LinkedIn Telmo Urrieta"/>
    <b v="1"/>
    <b v="1"/>
    <b v="0"/>
    <b v="0"/>
    <b v="0"/>
    <b v="0"/>
    <b v="0"/>
    <s v="Sin Rol"/>
  </r>
  <r>
    <s v="Uxue Martitegi Elgezabal"/>
    <n v="68"/>
    <s v="Mujer"/>
    <s v="Member"/>
    <d v="2024-10-31T00:00:00"/>
    <d v="2024-12-05T00:00:00"/>
    <s v="16091889P"/>
    <x v="2"/>
    <m/>
    <s v="uxuemartiel@gmail.com"/>
    <s v="FALTA"/>
    <s v="umartitegi001@ikasle.ehu.eus"/>
    <s v="umartitegi@biskyteam.com"/>
    <n v="646566384"/>
    <s v="GRADO"/>
    <s v="Grado en Física"/>
    <m/>
    <b v="0"/>
    <m/>
    <b v="1"/>
    <b v="1"/>
    <b v="1"/>
    <b v="1"/>
    <b v="0"/>
    <b v="0"/>
    <b v="0"/>
    <s v="Sin Rol"/>
  </r>
  <r>
    <s v="Victor Llosa Lorenzo"/>
    <n v="69"/>
    <s v="Hombre"/>
    <s v="Member"/>
    <d v="2024-10-31T00:00:00"/>
    <d v="2024-12-05T00:00:00"/>
    <s v="79137867L"/>
    <x v="0"/>
    <m/>
    <s v="victorllosa06@gmail.com"/>
    <s v="FALTA"/>
    <s v="vllosa001@ikasle.ehu.eus"/>
    <m/>
    <n v="681034984"/>
    <s v="GRADO"/>
    <s v="Grado en informatica"/>
    <m/>
    <m/>
    <m/>
    <b v="1"/>
    <b v="1"/>
    <m/>
    <m/>
    <m/>
    <m/>
    <m/>
    <s v="Sin Rol"/>
  </r>
  <r>
    <s v="Leire Aresti Guijo"/>
    <n v="70"/>
    <s v="Mujer"/>
    <s v="Fase de Pruebas"/>
    <d v="2025-03-01T00:00:00"/>
    <m/>
    <s v="79178074E"/>
    <x v="0"/>
    <s v="Flight Control &amp; Simulation"/>
    <s v="arestiguijoleire@gmail.com"/>
    <s v="FALTA"/>
    <s v="laresti005@ikasle.ehu.eus"/>
    <m/>
    <n v="646688131"/>
    <s v="GRADO"/>
    <s v="Doble Grado en Física e Ingeniería Electrónica"/>
    <m/>
    <m/>
    <m/>
    <m/>
    <m/>
    <m/>
    <m/>
    <m/>
    <m/>
    <m/>
    <s v="Sin Rol"/>
  </r>
  <r>
    <s v="Alexander Perez Garcia"/>
    <n v="71"/>
    <s v="Hombre"/>
    <s v="Fase de Pruebas"/>
    <d v="2025-03-21T00:00:00"/>
    <m/>
    <m/>
    <x v="4"/>
    <m/>
    <m/>
    <m/>
    <m/>
    <m/>
    <n v="661779516"/>
    <s v="GRADO"/>
    <s v="Grado en Ingeniería Mecánica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1"/>
    <x v="0"/>
    <x v="0"/>
    <d v="2020-09-08T00:00:00"/>
    <d v="2020-10-08T00:00:00"/>
    <s v="45890176R"/>
    <s v="Avionics"/>
    <m/>
    <s v="ruizgonzalezunai@gmail.com"/>
    <s v="FALTA"/>
    <s v="uruiz026@ikasle.ehu.eus"/>
    <s v="uruiz@biskyteam.com"/>
    <n v="688825602"/>
    <s v="DOCTORADO"/>
    <s v="Doctorado en Tecnologías de la Información y Comunicaciones en Redes Móviles"/>
    <s v="Grado en Ingeniería en Tecnología de Telecomunicación + Máster en Ingeniería Computacional y Sistemas Inteligentes"/>
    <b v="0"/>
    <s v="LinkedIn Unai Ruiz"/>
    <b v="1"/>
    <b v="1"/>
    <b v="1"/>
    <b v="1"/>
    <b v="1"/>
    <b v="1"/>
    <s v="Miembro"/>
  </r>
  <r>
    <x v="1"/>
    <n v="2"/>
    <x v="0"/>
    <x v="0"/>
    <d v="2020-11-02T00:00:00"/>
    <d v="2020-12-12T00:00:00"/>
    <s v="79138875S"/>
    <s v="Flight Control"/>
    <m/>
    <s v="josdriuu@gmail.com"/>
    <s v="FALTA"/>
    <s v="jdelrio012@ikasle.ehu.eus"/>
    <s v="jdelrio@biskyteam.com"/>
    <n v="629964492"/>
    <s v="DOCTORADO"/>
    <s v="Doctorado en Ingeniería Informática"/>
    <s v="Grado en Ingeniería Electrónica Industrial y Automática + Máster en Ingeniería Computacional y Sistemas Inteligentes"/>
    <b v="0"/>
    <s v="LinkedIn Josu del Rio"/>
    <b v="1"/>
    <b v="1"/>
    <b v="1"/>
    <b v="1"/>
    <b v="1"/>
    <b v="0"/>
    <s v="Miembro"/>
  </r>
  <r>
    <x v="2"/>
    <n v="3"/>
    <x v="1"/>
    <x v="1"/>
    <d v="2021-09-17T00:00:00"/>
    <d v="2021-10-12T00:00:00"/>
    <s v="16632616M"/>
    <s v="Flight Control"/>
    <m/>
    <s v="jimenadelrio1@gmail.com"/>
    <s v="delriojimena1@gmail.com"/>
    <s v="jdelrio015@ikasle.ehu.eus"/>
    <s v="jisabel@biskyteam.com"/>
    <n v="646971469"/>
    <s v="MÁSTER"/>
    <s v="Máster en Ingeniería de Control, Automatización y Robótica"/>
    <s v="Grado en Ingeniería Electrónica Industrial y Automática"/>
    <b v="0"/>
    <s v="LinkedIn Jimena del Rio"/>
    <b v="1"/>
    <b v="1"/>
    <b v="1"/>
    <b v="1"/>
    <b v="1"/>
    <b v="0"/>
    <s v="Chief / Project Manager"/>
  </r>
  <r>
    <x v="3"/>
    <n v="4"/>
    <x v="0"/>
    <x v="2"/>
    <d v="2021-09-17T00:00:00"/>
    <d v="2021-10-17T00:00:00"/>
    <s v="20233463H"/>
    <s v="Recovery"/>
    <m/>
    <s v="a.arroyok@gmail.com"/>
    <s v="FALTA"/>
    <s v="aarroyo024@ikasle.ehu.eus"/>
    <s v="aarroyo@biskyteam.com"/>
    <n v="684128280"/>
    <s v="MÁSTER"/>
    <s v="Máster en Ingeniería Industrial"/>
    <s v="Grado en Ingeniería en Tecnología Industrial"/>
    <b v="0"/>
    <s v="LinkedIn Ander Arroyo"/>
    <b v="1"/>
    <b v="1"/>
    <b v="1"/>
    <b v="1"/>
    <b v="1"/>
    <b v="1"/>
    <s v="Chief / Project Manager"/>
  </r>
  <r>
    <x v="4"/>
    <n v="5"/>
    <x v="0"/>
    <x v="3"/>
    <d v="2021-09-26T00:00:00"/>
    <d v="2021-10-12T00:00:00"/>
    <s v="79067552S"/>
    <s v="Propulsion"/>
    <m/>
    <s v="unaigoas2002@gmail.com"/>
    <s v="FALTA"/>
    <s v="ugomez021@ikasle.ehu.eus"/>
    <s v="ugomez@biskyteam.com"/>
    <n v="693844570"/>
    <s v="MÁSTER"/>
    <s v="Máster en Ingeniería Industrial"/>
    <s v="Grado en Ingeniería en Tecnología Industrial"/>
    <b v="0"/>
    <s v="LinkedIn Unai Gomez"/>
    <b v="1"/>
    <b v="1"/>
    <b v="1"/>
    <b v="1"/>
    <b v="1"/>
    <b v="0"/>
    <s v="Discord Admin"/>
  </r>
  <r>
    <x v="5"/>
    <n v="6"/>
    <x v="0"/>
    <x v="0"/>
    <d v="2021-10-13T00:00:00"/>
    <d v="2021-11-13T00:00:00"/>
    <s v="45892612E"/>
    <s v="Aerostructure"/>
    <m/>
    <s v="asiersalgado2210@gmail.com"/>
    <s v="FALTA"/>
    <s v="asalgado013@ikasle.ehu.eus"/>
    <s v="asalgado@biskyteam.com"/>
    <n v="687144411"/>
    <s v="GRADO"/>
    <s v="Grado en Ingeniería Mecánica"/>
    <m/>
    <b v="0"/>
    <s v="LinkedIn Asier Salgado"/>
    <b v="1"/>
    <b v="1"/>
    <b v="1"/>
    <b v="1"/>
    <b v="1"/>
    <b v="1"/>
    <s v="Miembro"/>
  </r>
  <r>
    <x v="6"/>
    <n v="7"/>
    <x v="0"/>
    <x v="0"/>
    <d v="2021-10-13T00:00:00"/>
    <d v="2022-11-20T00:00:00"/>
    <s v="16092270K"/>
    <s v="Propulsion"/>
    <m/>
    <s v="jonaneste02@gmail.com"/>
    <s v="FALTA"/>
    <s v="jesteban020@ikasle.ehu.eus"/>
    <s v="jaesteban@biskyteam.com"/>
    <n v="688607624"/>
    <s v="MÁSTER"/>
    <s v="Doble Máster en Ingeniería Industrial + Tecnologías Aeronáuticas y Máquina-Herramienta"/>
    <s v="Grado en Ingeniería en Tecnología Industrial"/>
    <b v="0"/>
    <s v="LinkedIn Jon Andoni Esteban"/>
    <b v="1"/>
    <b v="1"/>
    <b v="1"/>
    <b v="1"/>
    <b v="1"/>
    <b v="0"/>
    <s v="Technical"/>
  </r>
  <r>
    <x v="7"/>
    <n v="8"/>
    <x v="1"/>
    <x v="3"/>
    <d v="2021-10-13T00:00:00"/>
    <d v="2022-11-20T00:00:00"/>
    <s v="79117106G"/>
    <s v="Propulsion"/>
    <m/>
    <s v="vickybcu@gmail.com"/>
    <s v="FALTA"/>
    <s v="Vbarahona001@ikasle.ehu.eus"/>
    <s v="vbarahona@biskyteam.com"/>
    <n v="688873991"/>
    <s v="MÁSTER"/>
    <s v="Máster en Ingeniería Industrial"/>
    <s v="Grado en Ingeniería en Tecnología Industrial"/>
    <b v="0"/>
    <s v="LinkedIn Victoria Barahona"/>
    <b v="1"/>
    <b v="1"/>
    <b v="1"/>
    <b v="1"/>
    <b v="1"/>
    <b v="0"/>
    <s v="Technical"/>
  </r>
  <r>
    <x v="8"/>
    <n v="9"/>
    <x v="0"/>
    <x v="4"/>
    <d v="2021-10-13T00:00:00"/>
    <d v="2021-11-13T00:00:00"/>
    <s v="73037061D"/>
    <s v="Avionics"/>
    <m/>
    <s v="me.elustondo@gmail.com"/>
    <s v="FALTA"/>
    <s v="melustondo003@ikasle.ehu.eus"/>
    <s v="melustondo@biskyteam.com"/>
    <n v="619425918"/>
    <s v="MÁSTER"/>
    <s v="Máster en Sistemas Electrónicos Avanzados"/>
    <s v="Grado en Ingeniería Electrónica Industrial y Automática"/>
    <b v="0"/>
    <s v="LinkedIn Mikel Elustondo"/>
    <b v="1"/>
    <b v="1"/>
    <b v="1"/>
    <b v="1"/>
    <b v="1"/>
    <b v="1"/>
    <s v="Chief / Project Manager"/>
  </r>
  <r>
    <x v="9"/>
    <n v="10"/>
    <x v="0"/>
    <x v="4"/>
    <d v="2022-05-10T00:00:00"/>
    <d v="2022-06-10T00:00:00"/>
    <s v="79046850J"/>
    <s v="Structures &amp; Fabrication"/>
    <m/>
    <s v="mariocasqueteupv@gmail.com"/>
    <s v="FALTA"/>
    <s v="mcasquete001@ikasle.ehu.eus"/>
    <s v="mcasquete@biskyteam.com"/>
    <n v="617137417"/>
    <s v="GRADO"/>
    <s v="Grado en Ingeniería Mecánica"/>
    <m/>
    <b v="0"/>
    <s v="LinkedIn Mario Casquete"/>
    <b v="1"/>
    <b v="1"/>
    <b v="1"/>
    <b v="1"/>
    <b v="1"/>
    <b v="1"/>
    <s v="Technical"/>
  </r>
  <r>
    <x v="10"/>
    <n v="11"/>
    <x v="0"/>
    <x v="0"/>
    <d v="2022-10-10T00:00:00"/>
    <d v="2022-11-10T00:00:00"/>
    <s v="78993273A"/>
    <s v="Avionics"/>
    <m/>
    <s v="urquetin@gmail.com"/>
    <s v="FALTA"/>
    <s v="mfrutes001@ikasle.ehu.eus"/>
    <s v="mfrutes@biskyteam.com"/>
    <n v="688866012"/>
    <s v="MÁSTER"/>
    <s v="Máster en Ingeniería de Control, Automatización y Robótica"/>
    <s v="Grado en Ingeniería Electrónica Industrial y Automática"/>
    <m/>
    <s v=" LinkedIn Mikel Frutes"/>
    <b v="1"/>
    <b v="1"/>
    <b v="1"/>
    <b v="1"/>
    <b v="0"/>
    <b v="1"/>
    <s v="Miembro"/>
  </r>
  <r>
    <x v="11"/>
    <n v="12"/>
    <x v="0"/>
    <x v="3"/>
    <d v="2022-10-10T00:00:00"/>
    <d v="2022-11-10T00:00:00"/>
    <s v="79364138Q"/>
    <s v="Avionics"/>
    <m/>
    <s v="jonanpatxo@gmail.com"/>
    <s v="FALTA"/>
    <s v="jpacho005@ikasle.ehu.eus"/>
    <s v="japacho@biskyteam.com"/>
    <n v="640281841"/>
    <s v="GRADO"/>
    <s v="Grado en Ingeniería Electrónica Industrial y Automática"/>
    <m/>
    <b v="0"/>
    <s v="LinkedIn Jon ander Pacho"/>
    <b v="1"/>
    <b v="1"/>
    <b v="1"/>
    <b v="1"/>
    <b v="0"/>
    <b v="1"/>
    <s v="Miembro"/>
  </r>
  <r>
    <x v="12"/>
    <n v="13"/>
    <x v="0"/>
    <x v="5"/>
    <d v="2022-10-10T00:00:00"/>
    <d v="2022-11-10T00:00:00"/>
    <s v="16096386C "/>
    <s v="Avionics"/>
    <m/>
    <s v="inigo9001@gmail.com "/>
    <s v="FALTA"/>
    <s v="imartinez280@ikasle.ehu.eus"/>
    <s v="imartinez@biskyteam.com"/>
    <n v="697561955"/>
    <s v="MÁSTER"/>
    <s v="Máster en Ingeniería de Control, Automatización y Robótica"/>
    <s v="Grado en Ingeniería Electrónica Industrial y Automática"/>
    <b v="0"/>
    <s v="LinkedIn Iñigo Martinez"/>
    <b v="1"/>
    <b v="1"/>
    <b v="1"/>
    <b v="1"/>
    <b v="0"/>
    <b v="1"/>
    <s v="Miembro"/>
  </r>
  <r>
    <x v="13"/>
    <n v="14"/>
    <x v="0"/>
    <x v="0"/>
    <d v="2022-10-18T00:00:00"/>
    <d v="2022-11-10T00:00:00"/>
    <s v="16102890S"/>
    <s v="Business &amp; Management"/>
    <s v="Flight Control"/>
    <s v="Juanbilbaopazos@gmail.com"/>
    <s v="FALTA"/>
    <s v="jbilbao112@ikasle.ehu.eus"/>
    <s v="jbilbao@biskyteam.com"/>
    <n v="688723130"/>
    <s v="GRADO"/>
    <s v="Grado en Ingeniería en Tecnología Industrial"/>
    <m/>
    <b v="0"/>
    <s v="LinkedIn Juan Bilbao"/>
    <b v="1"/>
    <b v="1"/>
    <b v="1"/>
    <b v="1"/>
    <b v="0"/>
    <b v="1"/>
    <s v="Chief"/>
  </r>
  <r>
    <x v="14"/>
    <n v="15"/>
    <x v="0"/>
    <x v="3"/>
    <d v="2022-10-18T00:00:00"/>
    <d v="2022-11-10T00:00:00"/>
    <s v="16107767Q"/>
    <s v="Propulsion"/>
    <m/>
    <s v="Imanol.cornejobt@gmail.com"/>
    <s v="FALTA"/>
    <s v="icornejo002@ikasle.ehu.eus"/>
    <s v="icornejo@biskyteam.com"/>
    <n v="633279950"/>
    <s v="GRADO"/>
    <s v="Grado en Ingeniería en Tecnología Industrial"/>
    <m/>
    <b v="0"/>
    <s v="LinkedIn Imanol Cornejo"/>
    <b v="1"/>
    <b v="1"/>
    <b v="1"/>
    <b v="1"/>
    <b v="0"/>
    <b v="0"/>
    <s v="Miembro"/>
  </r>
  <r>
    <x v="15"/>
    <n v="16"/>
    <x v="1"/>
    <x v="0"/>
    <d v="2022-11-10T00:00:00"/>
    <d v="2022-12-01T00:00:00"/>
    <s v="79231443P"/>
    <s v="Flight Control"/>
    <m/>
    <s v="m.jlandeta99@gmail.com"/>
    <s v="FALTA"/>
    <s v="mjaureguibeiti001@ikasle.ehu.eus"/>
    <s v="mjaureguibeitia@biskyteam.com"/>
    <n v="697939075"/>
    <s v="MÁSTER"/>
    <s v="Máster en Ingeniería de Control, Automatización y Robótica"/>
    <s v="Grado en Ingeniería Electrónica Industrial y Automática"/>
    <b v="0"/>
    <s v="LinkedIn Maialen Jaureguibeitia"/>
    <b v="1"/>
    <b v="1"/>
    <b v="1"/>
    <b v="1"/>
    <b v="1"/>
    <b v="0"/>
    <s v="Miembro"/>
  </r>
  <r>
    <x v="16"/>
    <n v="17"/>
    <x v="0"/>
    <x v="0"/>
    <d v="2022-12-05T00:00:00"/>
    <d v="2023-01-05T00:00:00"/>
    <s v="20975261C"/>
    <s v="Aerostructure"/>
    <m/>
    <s v="xabiermgp@gmail.com"/>
    <s v="FALTA"/>
    <s v="xmartinez023@ikasle.ehu.eus"/>
    <s v="xmartinez@biskyteam.com"/>
    <n v="625295113"/>
    <s v="GRADO"/>
    <s v="Grado en Ingeniería Mecánica"/>
    <m/>
    <b v="0"/>
    <s v="LinkedIn Xabier Martinez"/>
    <b v="1"/>
    <b v="1"/>
    <b v="1"/>
    <b v="1"/>
    <b v="1"/>
    <b v="1"/>
    <s v="Technical"/>
  </r>
  <r>
    <x v="17"/>
    <n v="18"/>
    <x v="0"/>
    <x v="4"/>
    <d v="2022-12-05T00:00:00"/>
    <d v="2023-01-05T00:00:00"/>
    <s v="79143886N"/>
    <s v="Structures &amp; Fabrication"/>
    <m/>
    <s v="reibax111@gmail.com"/>
    <s v="xabier.millan@gmail.com"/>
    <s v="xmillan001@ikasle.ehu.eus"/>
    <s v="xmillan@biskyteam.com"/>
    <n v="616149530"/>
    <s v="GRADO"/>
    <s v="Grado en Ingeniería en Tecnología Industrial"/>
    <m/>
    <b v="0"/>
    <s v="LinkedIn Xabier Millán"/>
    <b v="1"/>
    <b v="1"/>
    <b v="1"/>
    <b v="1"/>
    <b v="1"/>
    <b v="1"/>
    <s v="Chief / Project Manager"/>
  </r>
  <r>
    <x v="18"/>
    <n v="19"/>
    <x v="0"/>
    <x v="5"/>
    <d v="2023-03-10T00:00:00"/>
    <d v="2024-04-10T00:00:00"/>
    <s v="16096494J"/>
    <s v="Aerostructure"/>
    <m/>
    <s v="Erikrojasue@gmail.com"/>
    <s v="FALTA"/>
    <s v="erojas007@ikasle.ehu.eus"/>
    <s v="erojas@biskyteam.com"/>
    <n v="609230809"/>
    <s v="GRADO"/>
    <s v="Grado en Ingeniería Mecánica"/>
    <m/>
    <b v="0"/>
    <s v="LinkedIn Erik Rojas"/>
    <b v="1"/>
    <b v="1"/>
    <b v="1"/>
    <b v="1"/>
    <b v="1"/>
    <b v="1"/>
    <s v="Chief"/>
  </r>
  <r>
    <x v="19"/>
    <n v="20"/>
    <x v="0"/>
    <x v="0"/>
    <d v="2023-03-10T00:00:00"/>
    <d v="2024-04-10T00:00:00"/>
    <s v="79114644A"/>
    <s v="Aerostructure"/>
    <m/>
    <s v="jonsm2002@gmail.com"/>
    <s v="FALTA"/>
    <s v="jsecada001@ikasle.ehu.eus"/>
    <s v="jsecada@biskyteam.com"/>
    <n v="688890723"/>
    <s v="MÁSTER"/>
    <s v="Máster en Ingeniería Industrial"/>
    <s v="Grado en Ingeniería en Tecnología Industrial"/>
    <b v="0"/>
    <s v="LinkedIn Jon Secada"/>
    <b v="1"/>
    <b v="1"/>
    <b v="1"/>
    <b v="1"/>
    <b v="1"/>
    <b v="1"/>
    <s v="Chief / Project Manager"/>
  </r>
  <r>
    <x v="20"/>
    <n v="21"/>
    <x v="0"/>
    <x v="3"/>
    <d v="2023-03-30T00:00:00"/>
    <d v="2023-05-27T00:00:00"/>
    <s v="79077621X"/>
    <s v="Simulation"/>
    <m/>
    <s v="gorka.gb.0602@gmail.com"/>
    <s v="FALTA"/>
    <s v="ggrijalba002@ikasle.ehu.eus"/>
    <s v="ggrijalba@biskyteam.com"/>
    <n v="611440700"/>
    <s v="GRADO"/>
    <s v="Grado en Ingeniería Electrónica Industrial y Automática"/>
    <m/>
    <b v="0"/>
    <s v="LinkeIn Gorka Grijalba"/>
    <b v="1"/>
    <b v="1"/>
    <b v="1"/>
    <b v="1"/>
    <b v="1"/>
    <b v="0"/>
    <s v="Miembro"/>
  </r>
  <r>
    <x v="21"/>
    <n v="22"/>
    <x v="1"/>
    <x v="0"/>
    <d v="2023-09-14T00:00:00"/>
    <d v="2023-10-24T00:00:00"/>
    <s v="79077231B"/>
    <s v="Aerostructure"/>
    <m/>
    <s v="annecuevas2015@gmail.com"/>
    <s v="FALTA"/>
    <s v="acuevas015@ikasle.ehu.eus"/>
    <s v="acuevas@biskyteam.com"/>
    <n v="688631449"/>
    <s v="GRADO"/>
    <s v="Grado en Ingeniería Mecánica"/>
    <m/>
    <b v="0"/>
    <s v="LinkedIn Anne Cuevas"/>
    <b v="1"/>
    <b v="1"/>
    <b v="1"/>
    <b v="1"/>
    <b v="1"/>
    <b v="1"/>
    <s v="Technical"/>
  </r>
  <r>
    <x v="22"/>
    <n v="23"/>
    <x v="0"/>
    <x v="0"/>
    <d v="2023-10-03T00:00:00"/>
    <d v="2023-11-03T00:00:00"/>
    <s v="22762901P"/>
    <s v="Avionics"/>
    <m/>
    <s v="adairyves@gmail.com"/>
    <s v="FALTA"/>
    <s v="agondan001@ikasle.ehu.eus"/>
    <s v="agondan@biskyteam.com"/>
    <n v="684219337"/>
    <s v="GRADO"/>
    <s v="Grado en Ingeniería Informática de Gestión y Sistemas de Información"/>
    <m/>
    <b v="0"/>
    <s v="LinkedIn Adair Gondan"/>
    <b v="1"/>
    <b v="1"/>
    <b v="1"/>
    <b v="1"/>
    <b v="0"/>
    <b v="1"/>
    <s v="Technical"/>
  </r>
  <r>
    <x v="23"/>
    <n v="24"/>
    <x v="0"/>
    <x v="0"/>
    <d v="2023-10-11T00:00:00"/>
    <d v="2023-12-31T00:00:00"/>
    <s v="79115862W"/>
    <s v="Propulsion"/>
    <m/>
    <s v="enekogonzalez73@gmail.com"/>
    <s v="FALTA"/>
    <s v="egonzalez194@ikasle.ehu.eus"/>
    <s v="egonzalez@biskyteam.com"/>
    <n v="688849281"/>
    <s v="GRADO"/>
    <s v="Grado en Ingeniería Mecánica"/>
    <m/>
    <b v="0"/>
    <s v="LinkedIn Eneko González"/>
    <b v="1"/>
    <b v="1"/>
    <b v="1"/>
    <b v="1"/>
    <b v="1"/>
    <b v="0"/>
    <s v="Miembro"/>
  </r>
  <r>
    <x v="24"/>
    <n v="25"/>
    <x v="1"/>
    <x v="0"/>
    <d v="2023-10-16T00:00:00"/>
    <d v="2023-11-27T00:00:00"/>
    <s v="79226193W"/>
    <s v="Avionics"/>
    <m/>
    <s v="leiregarciagoyoaga@gmail.com"/>
    <s v="FALTA"/>
    <s v="lgarcia246@ikasle.ehu.eus"/>
    <s v="lgarcia@biskyteam.com"/>
    <n v="688639447"/>
    <s v="GRADO"/>
    <s v="Grado en Ingeniería Electrónica"/>
    <s v="Grado en Física"/>
    <b v="0"/>
    <s v="LinkedIn Leire Garcia"/>
    <b v="1"/>
    <b v="1"/>
    <b v="1"/>
    <b v="1"/>
    <b v="0"/>
    <b v="1"/>
    <s v="Miembro"/>
  </r>
  <r>
    <x v="25"/>
    <n v="26"/>
    <x v="1"/>
    <x v="5"/>
    <d v="2023-10-16T00:00:00"/>
    <d v="2023-12-31T00:00:00"/>
    <s v="79295727F"/>
    <s v="Structures &amp; Fabrication"/>
    <m/>
    <s v="carlaraepiercey@gmail.com"/>
    <s v="FALTA"/>
    <s v="cpiercey001@ikasle.ehu.eus"/>
    <s v="cpiercey@biskyteam.com"/>
    <n v="655576964"/>
    <s v="GRADO"/>
    <s v="Grado en Ingeniería Mecánica"/>
    <m/>
    <b v="0"/>
    <s v="Linkedin Carla Piercey"/>
    <b v="1"/>
    <b v="1"/>
    <b v="1"/>
    <b v="1"/>
    <b v="1"/>
    <b v="1"/>
    <s v="Technical"/>
  </r>
  <r>
    <x v="26"/>
    <n v="27"/>
    <x v="0"/>
    <x v="3"/>
    <d v="2023-10-16T00:00:00"/>
    <d v="2023-11-28T00:00:00"/>
    <s v="79176512R"/>
    <s v="Structures &amp; Fabrication"/>
    <m/>
    <s v="andercoma77@gmail.com"/>
    <s v="FALTA"/>
    <s v="acorral029@ikasle.ehu.eus"/>
    <s v="acorral@biskyteam.com"/>
    <n v="628012584"/>
    <s v="GRADO"/>
    <s v="Grado en Ingeniería en Tecnología Industrial"/>
    <m/>
    <b v="0"/>
    <s v="LinkedIn Ander Corral"/>
    <b v="1"/>
    <b v="1"/>
    <b v="1"/>
    <b v="1"/>
    <b v="1"/>
    <b v="0"/>
    <s v="Miembro"/>
  </r>
  <r>
    <x v="27"/>
    <n v="29"/>
    <x v="1"/>
    <x v="5"/>
    <d v="2023-10-16T00:00:00"/>
    <d v="2024-01-10T00:00:00"/>
    <s v="72850433A"/>
    <s v="Recovery"/>
    <m/>
    <s v="maidertr@gmail.com"/>
    <s v="FALTA"/>
    <s v="mtejada003@ikasle.ehu.eus"/>
    <s v="mtejada@biskyteam.com"/>
    <n v="634271868"/>
    <s v="GRADO"/>
    <s v="Grado en Física"/>
    <m/>
    <b v="0"/>
    <s v="LinkedIn Maider Tejada"/>
    <b v="1"/>
    <b v="1"/>
    <b v="1"/>
    <b v="1"/>
    <b v="1"/>
    <b v="1"/>
    <s v="Miembro"/>
  </r>
  <r>
    <x v="28"/>
    <n v="30"/>
    <x v="1"/>
    <x v="4"/>
    <d v="2023-10-16T00:00:00"/>
    <d v="2024-01-10T00:00:00"/>
    <s v="53983623R"/>
    <s v="Recovery"/>
    <m/>
    <s v="nereagldr@gmail.com"/>
    <s v="FALTA"/>
    <s v="ngarmendia022@ikasle.ehu.eus"/>
    <s v="ngarmendia@biskyteam.com"/>
    <n v="692934230"/>
    <s v="GRADO"/>
    <s v="Grado en Ingeniería Mecánica"/>
    <m/>
    <b v="0"/>
    <s v="LinkedIn Nerea Garmendia"/>
    <b v="1"/>
    <b v="1"/>
    <b v="1"/>
    <b v="1"/>
    <b v="1"/>
    <b v="1"/>
    <s v="Technical"/>
  </r>
  <r>
    <x v="29"/>
    <n v="31"/>
    <x v="1"/>
    <x v="0"/>
    <d v="2023-10-24T00:00:00"/>
    <d v="2024-01-31T00:00:00"/>
    <s v="79399407A"/>
    <s v="Business &amp; Management"/>
    <m/>
    <m/>
    <s v="FALTA"/>
    <s v="gcastillo008@ikasle.ehu.eus"/>
    <s v="gcastillo@biskyteam.com"/>
    <m/>
    <s v="GRADO"/>
    <m/>
    <m/>
    <b v="0"/>
    <s v="LinkedIn Goizane Castillo"/>
    <b v="1"/>
    <b v="1"/>
    <b v="1"/>
    <b v="1"/>
    <b v="0"/>
    <b v="0"/>
    <s v="Miembro"/>
  </r>
  <r>
    <x v="30"/>
    <n v="32"/>
    <x v="0"/>
    <x v="3"/>
    <d v="2024-04-12T00:00:00"/>
    <d v="2024-07-17T00:00:00"/>
    <n v="118473446"/>
    <s v="Avionics"/>
    <m/>
    <s v="omarqll987@gmail.com"/>
    <s v="FALTA"/>
    <s v="oquinto001@ikasle.ehu.eus"/>
    <s v="oalonso@biskyteam.com"/>
    <n v="632160879"/>
    <s v="GRADO"/>
    <s v="Grado en Ingeniería en Tecnología de Telecomunicación"/>
    <m/>
    <b v="0"/>
    <s v="LinkedIn Omar Alonso"/>
    <b v="1"/>
    <b v="1"/>
    <m/>
    <b v="1"/>
    <b v="0"/>
    <b v="1"/>
    <s v="Sin Rol"/>
  </r>
  <r>
    <x v="31"/>
    <n v="33"/>
    <x v="0"/>
    <x v="0"/>
    <d v="2024-04-17T00:00:00"/>
    <d v="2024-10-17T00:00:00"/>
    <s v="45949167C"/>
    <s v="Avionics"/>
    <m/>
    <s v="corchadomarkel@gmail.com"/>
    <s v="FALTA"/>
    <s v="mcorchado002@ikasle.ehu.eus"/>
    <s v="mcorchado@biskyteam.com"/>
    <n v="671303317"/>
    <s v="GRADO"/>
    <s v="Grado en Ingeniería en Tecnología de Telecomunicación"/>
    <m/>
    <m/>
    <s v="LinkedIn Markel Corchado"/>
    <b v="1"/>
    <b v="1"/>
    <b v="1"/>
    <b v="1"/>
    <m/>
    <b v="1"/>
    <s v="Sin Rol"/>
  </r>
  <r>
    <x v="32"/>
    <n v="34"/>
    <x v="0"/>
    <x v="5"/>
    <d v="2024-07-02T00:00:00"/>
    <d v="2024-09-10T00:00:00"/>
    <s v="16095694H"/>
    <s v="Propulsion"/>
    <m/>
    <s v="jonander_03@hotmail.com"/>
    <s v="FALTA"/>
    <s v="jsanchez158@ikasle.ehu.eus"/>
    <s v="jasanchez@biskyteam.com"/>
    <n v="618539541"/>
    <s v="MÁSTER"/>
    <s v="Doble Máster en Ingeniería Industrial + Tecnologías Aeronáuticas y Máquina-Herramienta"/>
    <m/>
    <b v="0"/>
    <s v="LinkedIn Jon Ander Sánchez"/>
    <b v="1"/>
    <b v="1"/>
    <b v="1"/>
    <b v="1"/>
    <b v="0"/>
    <b v="0"/>
    <s v="Chief"/>
  </r>
  <r>
    <x v="33"/>
    <n v="35"/>
    <x v="0"/>
    <x v="3"/>
    <d v="2024-07-02T00:00:00"/>
    <d v="2024-09-10T00:00:00"/>
    <s v="79230929T"/>
    <s v="Propulsion"/>
    <m/>
    <s v="raul.msdb@gmail.com"/>
    <s v="FALTA"/>
    <s v="rmarcos010@ikasle.ehu.eus"/>
    <s v="rmsaez@biskyteam.com"/>
    <n v="634823511"/>
    <s v="MÁSTER"/>
    <s v="Máster en Ingeniería Industrial"/>
    <s v="Grado en Ingeniería en Tecnología Industrial"/>
    <b v="0"/>
    <s v="LinkedIn Raúl Marcos Sáenz"/>
    <b v="1"/>
    <b v="1"/>
    <b v="1"/>
    <b v="1"/>
    <b v="0"/>
    <b v="0"/>
    <s v="Miembro"/>
  </r>
  <r>
    <x v="34"/>
    <n v="36"/>
    <x v="0"/>
    <x v="5"/>
    <d v="2024-10-31T00:00:00"/>
    <d v="2024-12-05T00:00:00"/>
    <s v="79046350L"/>
    <s v="Simulation"/>
    <m/>
    <s v="asier.lopez454@gmail.com"/>
    <s v="FALTA"/>
    <s v="alopez572@ikasle.ehu.eus"/>
    <s v="alopez@biskyteam.com"/>
    <n v="644307237"/>
    <s v="GRADO"/>
    <s v="Grado en Ingeniería Informática de Gestión y Sistemas de Información"/>
    <m/>
    <b v="0"/>
    <s v="LinkedIn Asier López"/>
    <b v="1"/>
    <b v="1"/>
    <b v="0"/>
    <b v="1"/>
    <b v="0"/>
    <b v="0"/>
    <s v="Miembro"/>
  </r>
  <r>
    <x v="35"/>
    <n v="37"/>
    <x v="0"/>
    <x v="3"/>
    <d v="2024-10-31T00:00:00"/>
    <d v="2024-12-05T00:00:00"/>
    <s v="54472915Z"/>
    <s v="Flight Control"/>
    <m/>
    <s v="fabianbedia06@gmail.com"/>
    <s v="FALTA"/>
    <s v="fbedia001@ikasle.ehu.eus"/>
    <s v="fbedia@biskyteam.com"/>
    <n v="644731243"/>
    <s v="GRADO"/>
    <s v="Grado en Ingeniería en Tecnología de Telecomunicación"/>
    <m/>
    <b v="0"/>
    <s v="LinkedIn Fabián Bedia"/>
    <b v="1"/>
    <b v="1"/>
    <b v="1"/>
    <b v="1"/>
    <b v="0"/>
    <b v="0"/>
    <s v="Miembro"/>
  </r>
  <r>
    <x v="36"/>
    <n v="38"/>
    <x v="0"/>
    <x v="5"/>
    <d v="2024-10-31T00:00:00"/>
    <d v="2024-12-05T00:00:00"/>
    <s v="79457020R"/>
    <s v="Flight Control"/>
    <m/>
    <s v="hernanmarcosserna@gmail.com"/>
    <s v="FALTA"/>
    <s v="hmarcos005@ikasle.ehu.eus"/>
    <s v="hmarcos@biskyteam.com"/>
    <n v="634435114"/>
    <s v="GRADO"/>
    <s v="Grado en Ingeniería en Tecnología Industrial"/>
    <m/>
    <b v="0"/>
    <s v="LinkedIn Hernán Marcos"/>
    <b v="1"/>
    <b v="1"/>
    <b v="1"/>
    <b v="1"/>
    <b v="0"/>
    <b v="0"/>
    <s v="Miembro"/>
  </r>
  <r>
    <x v="37"/>
    <n v="39"/>
    <x v="0"/>
    <x v="0"/>
    <d v="2024-10-31T00:00:00"/>
    <d v="2024-12-05T00:00:00"/>
    <s v="79131754R"/>
    <s v="Avionics"/>
    <m/>
    <s v="lorenzoromeroivan@gmail.com"/>
    <s v="FALTA"/>
    <s v="ilorenzo017@ikasle.ehu.eus"/>
    <s v="ilorenzo@biskyteam.com"/>
    <n v="634448354"/>
    <s v="GRADO"/>
    <s v="Grado en Ingeniería Electrónica"/>
    <m/>
    <m/>
    <s v="LinkedIn Iván lorenzo"/>
    <b v="1"/>
    <b v="1"/>
    <b v="1"/>
    <b v="1"/>
    <m/>
    <b v="1"/>
    <s v="Sin Rol"/>
  </r>
  <r>
    <x v="38"/>
    <n v="40"/>
    <x v="0"/>
    <x v="3"/>
    <d v="2024-10-31T00:00:00"/>
    <d v="2024-12-05T00:00:00"/>
    <s v="48770059P"/>
    <s v="Avionics"/>
    <m/>
    <s v="pjami2005@gmail.com"/>
    <s v="FALTA"/>
    <s v="jmartinez312@ikasle.ehu.eus"/>
    <s v="jmartinez@biskyteam.com"/>
    <n v="644836422"/>
    <s v="GRADO"/>
    <s v="Grado en Ingeniería en Tecnología de Telecomunicación"/>
    <m/>
    <m/>
    <s v="LinkedIn Jose Andrea Martinez"/>
    <b v="1"/>
    <b v="1"/>
    <m/>
    <b v="1"/>
    <m/>
    <m/>
    <s v="Sin Rol"/>
  </r>
  <r>
    <x v="39"/>
    <n v="41"/>
    <x v="1"/>
    <x v="3"/>
    <d v="2024-10-31T00:00:00"/>
    <d v="2024-12-05T00:00:00"/>
    <s v="48680825Z"/>
    <s v="Aerostructure"/>
    <m/>
    <s v="maialends42@gmail.com"/>
    <s v="FALTA"/>
    <s v="mdavis002@ikasle.ehu.eus"/>
    <s v="mdavis@biskyteam.com"/>
    <n v="635765819"/>
    <s v="GRADO"/>
    <s v="Grado en Física"/>
    <m/>
    <b v="0"/>
    <s v="LinkedIn Maialen Davis"/>
    <b v="1"/>
    <b v="1"/>
    <b v="1"/>
    <b v="1"/>
    <b v="0"/>
    <b v="0"/>
    <s v="Miembro"/>
  </r>
  <r>
    <x v="40"/>
    <n v="42"/>
    <x v="0"/>
    <x v="3"/>
    <d v="2024-10-31T00:00:00"/>
    <d v="2024-12-05T00:00:00"/>
    <s v="79437271D"/>
    <s v="Aerostructure"/>
    <m/>
    <s v="markel.lacabe1@gmail.com"/>
    <s v="FALTA"/>
    <s v="mlacabe002@ikasle.ehu.eus"/>
    <s v="mlacabe@biskyteam.com"/>
    <n v="688889016"/>
    <s v="GRADO"/>
    <s v="Doble Grado en Física e Ingeniería Electrónica"/>
    <m/>
    <b v="0"/>
    <s v="LinkedIn Markel Lacabe"/>
    <b v="1"/>
    <b v="1"/>
    <b v="1"/>
    <b v="1"/>
    <b v="0"/>
    <b v="0"/>
    <s v="Miembro"/>
  </r>
  <r>
    <x v="41"/>
    <n v="43"/>
    <x v="1"/>
    <x v="3"/>
    <d v="2024-10-31T00:00:00"/>
    <d v="2024-12-05T00:00:00"/>
    <s v="32729421F"/>
    <s v="Simulation"/>
    <s v="Structures &amp; Fabrication"/>
    <m/>
    <s v="FALTA"/>
    <s v="mgomez256@ikasle.ehu.eus"/>
    <s v="mgomez@biskyteam.com"/>
    <n v="617868066"/>
    <s v="MÁSTER"/>
    <s v="Máster en Ingeniería Mecánica"/>
    <s v="Grado en Ingeniería Mecánica"/>
    <b v="0"/>
    <s v="linkedIn Marta Gómez"/>
    <b v="1"/>
    <b v="1"/>
    <b v="0"/>
    <b v="1"/>
    <b v="0"/>
    <b v="0"/>
    <s v="Miembro"/>
  </r>
  <r>
    <x v="42"/>
    <n v="44"/>
    <x v="1"/>
    <x v="3"/>
    <d v="2024-10-31T00:00:00"/>
    <d v="2024-12-05T00:00:00"/>
    <s v="16091889P"/>
    <s v="Aerostructure"/>
    <m/>
    <s v="uxuemartiel@gmail.com"/>
    <s v="FALTA"/>
    <s v="umartitegi001@ikasle.ehu.eus"/>
    <s v="umartitegi@biskyteam.com"/>
    <n v="646566384"/>
    <s v="GRADO"/>
    <s v="Grado en Física"/>
    <m/>
    <b v="0"/>
    <s v="LinkedIn Uxue Martitegi"/>
    <b v="1"/>
    <b v="1"/>
    <b v="1"/>
    <b v="1"/>
    <b v="0"/>
    <b v="0"/>
    <s v="Miembro"/>
  </r>
  <r>
    <x v="43"/>
    <n v="45"/>
    <x v="0"/>
    <x v="0"/>
    <d v="2024-10-31T00:00:00"/>
    <d v="2024-12-05T00:00:00"/>
    <s v="79137867L"/>
    <s v="Avionics"/>
    <m/>
    <s v="victorllosa06@gmail.com"/>
    <s v="FALTA"/>
    <s v="vllosa001@ikasle.ehu.eus"/>
    <s v="vllosa@biskyteam.com"/>
    <n v="681034984"/>
    <s v="GRADO"/>
    <s v="Grado en Ingeniería Informática de Gestión y Sistemas de Información"/>
    <m/>
    <m/>
    <s v="LinkedIn Victor Llosa"/>
    <b v="1"/>
    <b v="1"/>
    <b v="1"/>
    <b v="1"/>
    <m/>
    <b v="1"/>
    <s v="Sin Rol"/>
  </r>
  <r>
    <x v="44"/>
    <n v="46"/>
    <x v="0"/>
    <x v="0"/>
    <d v="2024-10-31T00:00:00"/>
    <d v="2024-12-06T00:00:00"/>
    <s v="79365073P"/>
    <s v="Propulsion"/>
    <m/>
    <s v="jon.u.dunabeitia@gmail.com"/>
    <s v="FALTA"/>
    <s v="jurizar005@ikasle.ehu.eus"/>
    <s v="jurizar@biskyteam.com"/>
    <n v="626731403"/>
    <s v="MÁSTER"/>
    <s v="Doble Máster en Ingeniería Industrial + Tecnologías Aeronáuticas y Máquina-Herramienta"/>
    <m/>
    <b v="0"/>
    <s v="LinkedIn Jon Urizar"/>
    <b v="1"/>
    <b v="1"/>
    <b v="1"/>
    <b v="1"/>
    <b v="0"/>
    <b v="0"/>
    <s v="Technical"/>
  </r>
  <r>
    <x v="45"/>
    <n v="47"/>
    <x v="1"/>
    <x v="3"/>
    <d v="2024-10-31T00:00:00"/>
    <d v="2024-12-06T00:00:00"/>
    <s v="23849328F"/>
    <s v="Propulsion"/>
    <m/>
    <s v="martinaolmosmurcia@gmail.com"/>
    <s v="FALTA"/>
    <s v="molmos004@ikasle.ehu.eus"/>
    <s v="molmos@biskyteam.com"/>
    <n v="603601213"/>
    <s v="GRADO"/>
    <s v="Grado en Ingeniería Química"/>
    <m/>
    <b v="0"/>
    <s v="LinkedIn Martina Olmos"/>
    <b v="1"/>
    <b v="1"/>
    <b v="1"/>
    <b v="1"/>
    <b v="0"/>
    <b v="0"/>
    <s v="Sin Rol"/>
  </r>
  <r>
    <x v="46"/>
    <n v="48"/>
    <x v="0"/>
    <x v="3"/>
    <d v="2024-10-31T00:00:00"/>
    <d v="2024-12-06T00:00:00"/>
    <s v="45993413Z"/>
    <s v="Propulsion"/>
    <m/>
    <s v="laclaumikel@gmail.com"/>
    <s v="FALTA"/>
    <s v="mlaclau001@ikasle.ehu.eus"/>
    <s v="mlaclau@biskyteam.com"/>
    <n v="688916429"/>
    <s v="GRADO"/>
    <s v="Grado en Ingeniería Química"/>
    <m/>
    <b v="0"/>
    <s v="LinkedIn Mikel Laclau"/>
    <b v="1"/>
    <b v="1"/>
    <b v="1"/>
    <b v="1"/>
    <b v="0"/>
    <b v="0"/>
    <s v="Sin Rol"/>
  </r>
  <r>
    <x v="47"/>
    <n v="49"/>
    <x v="0"/>
    <x v="5"/>
    <d v="2024-10-31T00:00:00"/>
    <d v="2024-12-06T00:00:00"/>
    <s v="44568788D"/>
    <s v="Business &amp; Management"/>
    <m/>
    <s v="telmoubietaurrutia@gmail.com"/>
    <s v="FALTA"/>
    <s v="tubieta001@ikasle.ehu.eus"/>
    <s v="tubieta@biskyteam.com"/>
    <n v="688813567"/>
    <s v="GRADO"/>
    <s v="Grado en Ingeniería en Tecnología de Telecomunicación"/>
    <m/>
    <b v="0"/>
    <s v="LinkedIn Telmo Urrieta"/>
    <b v="1"/>
    <b v="1"/>
    <b v="0"/>
    <b v="1"/>
    <b v="0"/>
    <b v="0"/>
    <s v="Sin Rol"/>
  </r>
  <r>
    <x v="48"/>
    <n v="50"/>
    <x v="1"/>
    <x v="3"/>
    <d v="2025-03-01T00:00:00"/>
    <d v="2025-04-02T00:00:00"/>
    <s v="79178074E"/>
    <s v="Avionics"/>
    <s v="Flight Control"/>
    <s v="arestiguijoleire@gmail.com"/>
    <s v="FALTA"/>
    <s v="laresti005@ikasle.ehu.eus"/>
    <s v="laresti@biskyteam.com"/>
    <n v="646688131"/>
    <s v="GRADO"/>
    <s v="Doble Grado en Física e Ingeniería Electrónica"/>
    <m/>
    <m/>
    <s v="LinkedIn Leire Aresti"/>
    <b v="1"/>
    <m/>
    <b v="1"/>
    <b v="1"/>
    <m/>
    <b v="1"/>
    <s v="Sin Rol"/>
  </r>
  <r>
    <x v="49"/>
    <n v="51"/>
    <x v="0"/>
    <x v="3"/>
    <d v="2025-03-21T00:00:00"/>
    <d v="2025-04-30T00:00:00"/>
    <s v="79003078X"/>
    <s v="Aerostructure"/>
    <m/>
    <s v="alexpg198297@gmail.com"/>
    <s v="FALTA"/>
    <s v="aperez563@ikasle.ehu.eus"/>
    <s v="aperez@biskyteam.com"/>
    <n v="661779516"/>
    <s v="GRADO"/>
    <s v="Grado en Ingeniería Mecánica"/>
    <m/>
    <m/>
    <s v="LinkedIn Alexander Pérez"/>
    <m/>
    <m/>
    <m/>
    <m/>
    <m/>
    <m/>
    <s v="Sin Rol"/>
  </r>
  <r>
    <x v="50"/>
    <n v="52"/>
    <x v="1"/>
    <x v="3"/>
    <d v="2025-04-15T00:00:00"/>
    <d v="2025-07-02T00:00:00"/>
    <s v="79067556L"/>
    <s v="Flight Control"/>
    <m/>
    <s v="leiregoas@gmail.com"/>
    <s v="FALTA"/>
    <s v="lgomez107@ikasle.ehu.eus"/>
    <s v="lgomez@biskyteam.com"/>
    <n v="675009768"/>
    <s v="GRADO"/>
    <s v="Grado en Ingeniería en Tecnología Industrial"/>
    <m/>
    <m/>
    <s v="LinkedIn Leire Gómez"/>
    <m/>
    <m/>
    <m/>
    <b v="1"/>
    <m/>
    <m/>
    <s v="Sin Ro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63666-069B-4123-B979-5BB5D4568D45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G14:H21" firstHeaderRow="1" firstDataRow="1" firstDataCol="1"/>
  <pivotFields count="27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dataField="1" compact="0" outline="0" showAll="0" sortType="descending">
      <items count="7">
        <item x="2"/>
        <item x="0"/>
        <item x="5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7">
    <i>
      <x v="1"/>
    </i>
    <i>
      <x v="4"/>
    </i>
    <i>
      <x v="3"/>
    </i>
    <i>
      <x v="5"/>
    </i>
    <i>
      <x/>
    </i>
    <i>
      <x v="2"/>
    </i>
    <i t="grand">
      <x/>
    </i>
  </rowItems>
  <colItems count="1">
    <i/>
  </colItems>
  <dataFields count="1">
    <dataField name="Cuenta de Campo8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564F3-2FB0-456A-B367-12DD6499640E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ROL">
  <location ref="A3:B10" firstHeaderRow="1" firstDataRow="1" firstDataCol="1"/>
  <pivotFields count="26">
    <pivotField axis="axisRow" showAll="0">
      <items count="82">
        <item x="22"/>
        <item m="1" x="55"/>
        <item m="1" x="57"/>
        <item m="1" x="54"/>
        <item x="3"/>
        <item x="26"/>
        <item m="1" x="58"/>
        <item m="1" x="79"/>
        <item x="21"/>
        <item m="1" x="69"/>
        <item m="1" x="56"/>
        <item m="1" x="62"/>
        <item m="1" x="80"/>
        <item x="5"/>
        <item m="1" x="60"/>
        <item x="25"/>
        <item m="1" x="77"/>
        <item m="1" x="66"/>
        <item m="1" x="72"/>
        <item x="23"/>
        <item m="1" x="68"/>
        <item x="18"/>
        <item x="35"/>
        <item x="29"/>
        <item x="20"/>
        <item x="36"/>
        <item m="1" x="74"/>
        <item m="1" x="65"/>
        <item x="12"/>
        <item m="1" x="61"/>
        <item x="2"/>
        <item x="11"/>
        <item x="32"/>
        <item x="6"/>
        <item x="19"/>
        <item m="1" x="52"/>
        <item x="1"/>
        <item x="13"/>
        <item x="24"/>
        <item m="1" x="73"/>
        <item x="39"/>
        <item x="15"/>
        <item x="27"/>
        <item m="1" x="59"/>
        <item x="9"/>
        <item m="1" x="51"/>
        <item m="1" x="63"/>
        <item x="41"/>
        <item x="45"/>
        <item x="8"/>
        <item x="10"/>
        <item x="46"/>
        <item m="1" x="70"/>
        <item m="1" x="75"/>
        <item m="1" x="76"/>
        <item x="28"/>
        <item x="30"/>
        <item m="1" x="67"/>
        <item x="33"/>
        <item m="1" x="64"/>
        <item x="47"/>
        <item x="4"/>
        <item m="1" x="71"/>
        <item x="0"/>
        <item x="42"/>
        <item x="7"/>
        <item x="16"/>
        <item x="17"/>
        <item x="31"/>
        <item x="38"/>
        <item x="43"/>
        <item x="37"/>
        <item x="34"/>
        <item m="1" x="78"/>
        <item x="48"/>
        <item x="49"/>
        <item x="14"/>
        <item m="1" x="53"/>
        <item x="40"/>
        <item x="44"/>
        <item x="50"/>
        <item t="default"/>
      </items>
    </pivotField>
    <pivotField showAll="0"/>
    <pivotField showAll="0">
      <items count="4">
        <item x="0"/>
        <item x="1"/>
        <item m="1" x="2"/>
        <item t="default"/>
      </items>
    </pivotField>
    <pivotField axis="axisRow" dataField="1" showAll="0">
      <items count="9">
        <item sd="0" x="5"/>
        <item sd="0" m="1" x="6"/>
        <item sd="0" m="1" x="7"/>
        <item sd="0" x="2"/>
        <item sd="0" x="3"/>
        <item sd="0" x="4"/>
        <item sd="0" x="1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0"/>
  </rowFields>
  <rowItems count="7">
    <i>
      <x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º" fld="3" subtotal="count" baseField="0" baseItem="0"/>
  </dataFields>
  <formats count="4">
    <format dxfId="129">
      <pivotArea field="3" type="button" dataOnly="0" labelOnly="1" outline="0" axis="axisRow" fieldPosition="0"/>
    </format>
    <format dxfId="128">
      <pivotArea dataOnly="0" labelOnly="1" outline="0" axis="axisValues" fieldPosition="0"/>
    </format>
    <format dxfId="127">
      <pivotArea field="3" type="button" dataOnly="0" labelOnly="1" outline="0" axis="axisRow" fieldPosition="0"/>
    </format>
    <format dxfId="126">
      <pivotArea field="3" type="button" dataOnly="0" labelOnly="1" outline="0" axis="axisRow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26C12-2DB3-44B6-9C9C-5FFF62117F76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7" rowHeaderCaption="GENERO">
  <location ref="D3:E6" firstHeaderRow="1" firstDataRow="1" firstDataCol="1" rowPageCount="1" colPageCount="1"/>
  <pivotFields count="26">
    <pivotField axis="axisRow" showAll="0">
      <items count="82">
        <item x="22"/>
        <item m="1" x="55"/>
        <item m="1" x="57"/>
        <item m="1" x="54"/>
        <item x="3"/>
        <item x="26"/>
        <item m="1" x="58"/>
        <item m="1" x="79"/>
        <item x="21"/>
        <item m="1" x="69"/>
        <item m="1" x="56"/>
        <item m="1" x="62"/>
        <item m="1" x="80"/>
        <item x="5"/>
        <item m="1" x="60"/>
        <item x="25"/>
        <item m="1" x="77"/>
        <item m="1" x="66"/>
        <item m="1" x="72"/>
        <item x="23"/>
        <item m="1" x="68"/>
        <item x="18"/>
        <item x="35"/>
        <item x="29"/>
        <item x="20"/>
        <item x="36"/>
        <item m="1" x="74"/>
        <item m="1" x="65"/>
        <item x="12"/>
        <item m="1" x="61"/>
        <item x="2"/>
        <item x="11"/>
        <item x="32"/>
        <item x="6"/>
        <item x="19"/>
        <item m="1" x="52"/>
        <item x="1"/>
        <item x="13"/>
        <item x="24"/>
        <item m="1" x="73"/>
        <item x="39"/>
        <item x="15"/>
        <item x="27"/>
        <item m="1" x="59"/>
        <item x="9"/>
        <item m="1" x="51"/>
        <item m="1" x="63"/>
        <item x="41"/>
        <item x="45"/>
        <item x="8"/>
        <item x="10"/>
        <item x="46"/>
        <item m="1" x="70"/>
        <item m="1" x="75"/>
        <item m="1" x="76"/>
        <item x="28"/>
        <item x="30"/>
        <item m="1" x="67"/>
        <item x="33"/>
        <item m="1" x="64"/>
        <item x="47"/>
        <item x="4"/>
        <item m="1" x="71"/>
        <item x="0"/>
        <item x="42"/>
        <item x="7"/>
        <item x="16"/>
        <item x="17"/>
        <item x="31"/>
        <item x="38"/>
        <item x="43"/>
        <item x="37"/>
        <item x="34"/>
        <item m="1" x="78"/>
        <item x="48"/>
        <item x="49"/>
        <item x="14"/>
        <item m="1" x="53"/>
        <item x="40"/>
        <item x="44"/>
        <item x="50"/>
        <item t="default"/>
      </items>
    </pivotField>
    <pivotField showAll="0"/>
    <pivotField axis="axisRow" dataField="1" showAll="0">
      <items count="4">
        <item sd="0" x="0"/>
        <item sd="0" x="1"/>
        <item sd="0" m="1" x="2"/>
        <item t="default"/>
      </items>
    </pivotField>
    <pivotField axis="axisPage" multipleItemSelectionAllowed="1" showAll="0">
      <items count="9">
        <item x="5"/>
        <item m="1" x="6"/>
        <item m="1" x="7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Nº" fld="2" subtotal="count" baseField="2" baseItem="0"/>
  </dataFields>
  <formats count="4">
    <format dxfId="133">
      <pivotArea field="2" type="button" dataOnly="0" labelOnly="1" outline="0" axis="axisRow" fieldPosition="0"/>
    </format>
    <format dxfId="132">
      <pivotArea dataOnly="0" labelOnly="1" outline="0" axis="axisValues" fieldPosition="0"/>
    </format>
    <format dxfId="131">
      <pivotArea field="2" type="button" dataOnly="0" labelOnly="1" outline="0" axis="axisRow" fieldPosition="0"/>
    </format>
    <format dxfId="130">
      <pivotArea field="2" type="button" dataOnly="0" labelOnly="1" outline="0" axis="axisRow" fieldPosition="0"/>
    </format>
  </format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9CA04-5B0E-4661-ADDD-B12350E04B9D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" rowHeaderCaption="ROL">
  <location ref="J2:K9" firstHeaderRow="1" firstDataRow="1" firstDataCol="1"/>
  <pivotFields count="26">
    <pivotField showAll="0"/>
    <pivotField showAll="0"/>
    <pivotField showAll="0"/>
    <pivotField axis="axisRow" dataField="1" showAll="0">
      <items count="9">
        <item x="5"/>
        <item m="1" x="6"/>
        <item m="1" x="7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º" fld="3" subtotal="count" baseField="3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46FF7-932C-42A9-B02A-F3886720215A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" rowHeaderCaption="GENERO">
  <location ref="C4:D7" firstHeaderRow="1" firstDataRow="1" firstDataCol="1" rowPageCount="1" colPageCount="1"/>
  <pivotFields count="26">
    <pivotField showAll="0"/>
    <pivotField showAll="0"/>
    <pivotField axis="axisRow" dataField="1" showAll="0">
      <items count="4">
        <item x="0"/>
        <item x="1"/>
        <item m="1" x="2"/>
        <item t="default"/>
      </items>
    </pivotField>
    <pivotField axis="axisPage" multipleItemSelectionAllowed="1" showAll="0">
      <items count="9">
        <item x="5"/>
        <item m="1" x="6"/>
        <item m="1" x="7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Nº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énero" xr10:uid="{A1496475-3CB0-4A14-AD4C-7705E797B801}" sourceName="Género">
  <pivotTables>
    <pivotTable tabId="2" name="TablaDinámica2"/>
    <pivotTable tabId="2" name="TablaDinámica1"/>
  </pivotTables>
  <data>
    <tabular pivotCacheId="831834162">
      <items count="3">
        <i x="0" s="1"/>
        <i x="1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Participante" xr10:uid="{E3DE663B-B4E7-4257-8D5D-DA7A3517E95E}" sourceName="Tipo de Participante">
  <pivotTables>
    <pivotTable tabId="2" name="TablaDinámica2"/>
  </pivotTables>
  <data>
    <tabular pivotCacheId="831834162">
      <items count="8">
        <i x="5" s="1"/>
        <i x="2" s="1"/>
        <i x="3" s="1"/>
        <i x="4" s="1"/>
        <i x="1" s="1"/>
        <i x="0" s="1"/>
        <i x="6" s="1" nd="1"/>
        <i x="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énero" xr10:uid="{9D02D7A8-FFE9-4354-B5C7-724974BDC4CC}" cache="SegmentaciónDeDatos_Género" caption="Género" rowHeight="241300"/>
  <slicer name="Tipo de Participante" xr10:uid="{6A2281BA-D90C-437C-8EA2-6EA59E33C295}" cache="SegmentaciónDeDatos_Tipo_de_Participante" caption="Tipo de Participant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F3C2AA-48FD-411E-A0E9-AF4AB714007E}" name="EQUIPO" displayName="EQUIPO" ref="A1:Z52" totalsRowShown="0" headerRowDxfId="190" dataDxfId="189">
  <autoFilter ref="A1:Z52" xr:uid="{E6F3C2AA-48FD-411E-A0E9-AF4AB714007E}"/>
  <sortState xmlns:xlrd2="http://schemas.microsoft.com/office/spreadsheetml/2017/richdata2" ref="A2:Z50">
    <sortCondition ref="E1:E52"/>
  </sortState>
  <tableColumns count="26">
    <tableColumn id="1" xr3:uid="{5224ACA2-CA62-4EA5-BC31-AA22C32DF034}" name="NOMBRE +2 apellidos" dataDxfId="188"/>
    <tableColumn id="2" xr3:uid="{7518540E-ADE4-4A8A-A25C-11FE7ED02BD7}" name="Número" dataDxfId="187"/>
    <tableColumn id="3" xr3:uid="{7D5FA9D1-976E-4380-A545-A6D7E41F76FB}" name="Género" dataDxfId="186"/>
    <tableColumn id="4" xr3:uid="{C7ECCDBF-4C98-45AC-9629-7F43B1C4E5A1}" name="Tipo de Participante" dataDxfId="185"/>
    <tableColumn id="5" xr3:uid="{DBDB3186-07C4-4E67-ACEA-5CD581FDFE03}" name="Fecha fase de pruebas" dataDxfId="184"/>
    <tableColumn id="6" xr3:uid="{278A44AD-963D-443F-8CE3-266F4FDB1AFC}" name="Reconocimiento como miembro" dataDxfId="183"/>
    <tableColumn id="7" xr3:uid="{CDBD10E7-E205-4A20-8140-1E654643C980}" name="DNI" dataDxfId="182"/>
    <tableColumn id="27" xr3:uid="{3F1D168D-2845-4DD3-BF6F-49C1F7B49857}" name="EQUIPO" dataDxfId="181"/>
    <tableColumn id="31" xr3:uid="{CF6C9E0F-7826-408B-AE7E-BD4CE228AFCD}" name="EQUIPO 2" dataDxfId="180"/>
    <tableColumn id="10" xr3:uid="{83AEE10A-66F9-4E91-90CB-D60DBCDFB24C}" name="CORREO GMAIL" dataDxfId="179"/>
    <tableColumn id="11" xr3:uid="{FF5B86D2-2C74-4E7B-A08A-713C438A28AD}" name="CORREO GMAIL2" dataDxfId="178"/>
    <tableColumn id="12" xr3:uid="{B0574CC8-D611-4272-8F0D-D0C37930C251}" name="CORREO UNIVERSIDAD" dataDxfId="177"/>
    <tableColumn id="13" xr3:uid="{0B3FC07A-17CD-452F-BCC2-9E916AF40AA1}" name="CORREO DOMINIO PROPIO" dataDxfId="176"/>
    <tableColumn id="14" xr3:uid="{4D699156-821C-49CB-9FDA-F7A8B687752F}" name="TELÉFONO" dataDxfId="175"/>
    <tableColumn id="15" xr3:uid="{D347EEBF-D3DB-4444-851D-FCBD5BDF8695}" name="NIVEL DE TITULACIÓN" dataDxfId="174"/>
    <tableColumn id="16" xr3:uid="{EB2B55BC-9C3E-4FB3-8309-17546D350E5B}" name="TITULACIÓN ACTUAL" dataDxfId="173"/>
    <tableColumn id="18" xr3:uid="{9AFDA142-36B5-4073-AA2C-5C81C1BF2BD2}" name="TITULACIONES FINALIZADAS" dataDxfId="172"/>
    <tableColumn id="19" xr3:uid="{2F8E9785-214A-4DD2-8425-42982916992A}" name="PRÁCTICAS" dataDxfId="171"/>
    <tableColumn id="20" xr3:uid="{E32605F1-9E01-4CD1-B4B5-2BEA4C0670C4}" name="Linked In" dataDxfId="170"/>
    <tableColumn id="21" xr3:uid="{544EDCFB-CA8B-4DF4-9654-3F61CF7C8EDF}" name="CONTRATO DE PARTICIPACIÓN " dataDxfId="169"/>
    <tableColumn id="22" xr3:uid="{864A7147-274E-4131-ADE3-222E9F6CFC7B}" name="ACCESO AULA" dataDxfId="168"/>
    <tableColumn id="23" xr3:uid="{7F5A5123-0C8A-4333-B18E-26F05019F05C}" name="CORREO ACTIVO" dataDxfId="167"/>
    <tableColumn id="24" xr3:uid="{4A1DEB47-B5F3-4F86-983A-59A6B4C6DB53}" name="ACCESO Teams" dataDxfId="166"/>
    <tableColumn id="25" xr3:uid="{A6AC00AD-21EE-4ECA-83B0-378B9B1552CC}" name="ACCESO BiskyCloud" dataDxfId="165"/>
    <tableColumn id="26" xr3:uid="{F2B58ADE-AB38-4891-823B-6004BCAF4AF9}" name="ACCESO 3DEXPERIENCE" dataDxfId="164"/>
    <tableColumn id="28" xr3:uid="{81A4D316-0EA4-46B2-B337-AE786F5E2424}" name="ROL DISCORD" dataDxfId="16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3D755-7945-40E6-B32A-3F7F160ACFA8}" name="Tabla1" displayName="Tabla1" ref="A1:AA14" totalsRowShown="0" headerRowDxfId="162" dataDxfId="161">
  <autoFilter ref="A1:AA14" xr:uid="{2153D755-7945-40E6-B32A-3F7F160ACFA8}"/>
  <sortState xmlns:xlrd2="http://schemas.microsoft.com/office/spreadsheetml/2017/richdata2" ref="A2:AA7">
    <sortCondition ref="B1:B7"/>
  </sortState>
  <tableColumns count="27">
    <tableColumn id="1" xr3:uid="{F7F893DC-3046-4DE6-B9F8-AB09A1EB4D2C}" name="NOMBRE +2 apellidos" dataDxfId="160"/>
    <tableColumn id="2" xr3:uid="{EA98CC11-38AF-4B0E-AF8C-3B533C1A6C78}" name="Número" dataDxfId="159"/>
    <tableColumn id="3" xr3:uid="{40D9FB25-1092-44C2-996C-47C4373A4305}" name="Género" dataDxfId="158"/>
    <tableColumn id="4" xr3:uid="{15D7AB06-AA94-4B09-B09F-FF5B913453CC}" name="Tipo de Participante" dataDxfId="157"/>
    <tableColumn id="5" xr3:uid="{962A71E5-FF94-4052-8E3D-73D0DF1FD38B}" name="Fecha fase de pruebas" dataDxfId="156"/>
    <tableColumn id="6" xr3:uid="{0A8ED2C8-7BC7-488D-9A1A-6CAACFEB7E30}" name="Reconocimiento como miembro" dataDxfId="155"/>
    <tableColumn id="7" xr3:uid="{459B1054-FF54-4660-AE09-E613EB7F1947}" name="DNI" dataDxfId="154"/>
    <tableColumn id="8" xr3:uid="{2FEDA747-C8E7-405A-9766-4F5A7F59D903}" name="EQUIPO" dataDxfId="153"/>
    <tableColumn id="9" xr3:uid="{D6189D2F-9177-438F-8FE5-E9C34A0B7FC8}" name="EQUIPO2" dataDxfId="152"/>
    <tableColumn id="10" xr3:uid="{DC2D987B-CBAD-4827-A106-9F9791F23CF2}" name="CORREO GMAIL" dataDxfId="151"/>
    <tableColumn id="11" xr3:uid="{B0F528D1-2BC7-4AB5-8A5C-53179B8F715E}" name="CORREO GMAIL2" dataDxfId="150"/>
    <tableColumn id="12" xr3:uid="{B75FB4FE-A2EC-4924-A194-6FE7CA3CA670}" name="CORREO UNIVERSIDAD" dataDxfId="149"/>
    <tableColumn id="13" xr3:uid="{28F8C4E7-C45A-42DD-8825-EA2D81D8A7B7}" name="CORREO DOMINIO PROPIO" dataDxfId="148"/>
    <tableColumn id="14" xr3:uid="{E011BD9B-D7DA-45C9-863A-0D3F442987A9}" name="TELÉFONO" dataDxfId="147"/>
    <tableColumn id="15" xr3:uid="{BC498BAB-8C96-4B97-81E7-5A003222F2D4}" name="NIVEL DE TITULACIÓN" dataDxfId="146"/>
    <tableColumn id="16" xr3:uid="{B98EB6FE-4FFA-4589-B14C-898A774CAC42}" name="TITULACIÓN ACTUAL" dataDxfId="145"/>
    <tableColumn id="17" xr3:uid="{9E54E3B2-85C8-4DFB-AC62-0B496A8FAB7B}" name="TITULACIONES FINALIZADAS" dataDxfId="144"/>
    <tableColumn id="18" xr3:uid="{2EF4DF45-3C7A-488B-BFC5-485A9039A78B}" name="PRÁCTICAS" dataDxfId="143"/>
    <tableColumn id="19" xr3:uid="{9771B205-E7DB-4C00-B0E7-78218F83ED16}" name="Linked In" dataDxfId="142"/>
    <tableColumn id="20" xr3:uid="{97FDA322-BD58-4CC3-88BD-D4251F435CA9}" name="CONTRATO DE COLABORACIÓN " dataDxfId="141"/>
    <tableColumn id="21" xr3:uid="{CB4329C6-51B8-4FFB-9641-1F9C61492485}" name="ACCESO AULA" dataDxfId="140"/>
    <tableColumn id="22" xr3:uid="{A6D534D5-BF93-4C30-B333-0040FD9B634C}" name="CORREO ACTIVO" dataDxfId="139"/>
    <tableColumn id="23" xr3:uid="{6C2BC873-5C35-4549-BE1D-5A508C309290}" name="ACCESO OneDrive" dataDxfId="138"/>
    <tableColumn id="24" xr3:uid="{E4536EF5-E97F-4B9E-B08B-0755F1E8EEE9}" name="ACCESO BiskyCloud" dataDxfId="137"/>
    <tableColumn id="25" xr3:uid="{AC93811A-E6CF-4F18-B9FF-E848DBA03938}" name="ACCESO 3DEXPERIENCE" dataDxfId="136"/>
    <tableColumn id="26" xr3:uid="{194FF1AE-AAB0-49DC-8615-4657D066E3B2}" name="ACCESO Ansys" dataDxfId="135"/>
    <tableColumn id="27" xr3:uid="{E8CF0A14-BB9C-438B-B9FB-4C39F2A818F9}" name="ROL DISCORD" dataDxfId="134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76B5EE-BC8C-4199-A290-8930C07E95BC}" name="Tabla3" displayName="Tabla3" ref="A1:T128" totalsRowShown="0" headerRowDxfId="125" dataDxfId="124">
  <autoFilter ref="A1:T128" xr:uid="{4E76B5EE-BC8C-4199-A290-8930C07E95BC}"/>
  <tableColumns count="20">
    <tableColumn id="1" xr3:uid="{35D782BB-11CC-4077-880B-A0FBCCA2CB17}" name="NOMBRE +2 apellidos" dataDxfId="123"/>
    <tableColumn id="2" xr3:uid="{DBBF9BDF-C5E7-4937-B81A-F4D30746D07C}" name="Número" dataDxfId="122"/>
    <tableColumn id="20" xr3:uid="{7F19EAC4-CDA6-43B6-83A0-58BD440847F0}" name="Género" dataDxfId="121"/>
    <tableColumn id="3" xr3:uid="{79534DB1-65C1-4C3C-8816-040AC0C7FCC0}" name="Tipo de Participante" dataDxfId="120"/>
    <tableColumn id="4" xr3:uid="{EE83D2B2-7A73-4E85-B186-6386323E2FE5}" name="Fecha fase de pruebas" dataDxfId="119"/>
    <tableColumn id="5" xr3:uid="{BDC3CE04-D2F9-4E07-BAF2-3E5181CED1C7}" name="Reconocimiento como miembro" dataDxfId="118"/>
    <tableColumn id="19" xr3:uid="{20D8EA26-43C6-4ABC-83DE-239231DA001D}" name="Fecha de salida del equipo" dataDxfId="117"/>
    <tableColumn id="6" xr3:uid="{E5BB3B48-0172-49E0-BD0C-0BAFCC91C1EB}" name="DNI" dataDxfId="116"/>
    <tableColumn id="7" xr3:uid="{D14B7EED-5142-4A07-ACD6-4C13F5423B6E}" name="   EQUIPO" dataDxfId="115"/>
    <tableColumn id="8" xr3:uid="{38943D93-AD3E-464D-BA90-79A7F848B8BF}" name="   EQUIPO2" dataDxfId="114"/>
    <tableColumn id="9" xr3:uid="{0173432C-2A0B-4E55-8FA2-6FB4B0EB5FA1}" name="CORREO GMAIL" dataDxfId="113"/>
    <tableColumn id="10" xr3:uid="{1F20222E-1AE3-4D23-B283-36171C421CBA}" name="CORREO GMAIL2" dataDxfId="112"/>
    <tableColumn id="11" xr3:uid="{BE059CC2-92E9-454C-A099-2E7676FF5A5C}" name="CORREO UNIVERSIDAD" dataDxfId="111"/>
    <tableColumn id="12" xr3:uid="{1D3F8F4D-81E2-403C-9011-758AF89A5FEE}" name="CORREO DOMINIO PROPIO" dataDxfId="110"/>
    <tableColumn id="13" xr3:uid="{746C0D9D-7A73-4144-A75C-D9FB17B9EBBE}" name="TELÉFONO" dataDxfId="109"/>
    <tableColumn id="14" xr3:uid="{1BCB6B3F-C017-40C3-846F-F6A34279B028}" name="TITULACIÓN ACTUAL" dataDxfId="108"/>
    <tableColumn id="15" xr3:uid="{541AB820-6C82-49BE-9905-B15A6267B64E}" name="CURSO" dataDxfId="107"/>
    <tableColumn id="16" xr3:uid="{89930263-BEF1-4191-91EF-03CDB4953586}" name="TITULACIONES FINALIZADAS" dataDxfId="106"/>
    <tableColumn id="17" xr3:uid="{1AEB83DC-0F2F-40A8-933A-49037B489ED1}" name="Empresa" dataDxfId="105"/>
    <tableColumn id="18" xr3:uid="{CB53576D-5444-4C92-BC72-376BD83C66B6}" name="Linked In" dataDxfId="10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821B92-57EA-496A-873B-14C2A5B1EF1E}" name="Tabla15" displayName="Tabla15" ref="A1:H6" totalsRowShown="0" headerRowDxfId="103" dataDxfId="102">
  <autoFilter ref="A1:H6" xr:uid="{2153D755-7945-40E6-B32A-3F7F160ACFA8}"/>
  <tableColumns count="8">
    <tableColumn id="1" xr3:uid="{7E9C6C1F-56E6-4209-B047-E9B76312C42D}" name="NOMBRE +2 apellidos" dataDxfId="101"/>
    <tableColumn id="2" xr3:uid="{D01CA9BE-689F-412C-9DA6-6086E6EDBBBD}" name="Número" dataDxfId="100"/>
    <tableColumn id="3" xr3:uid="{C7F53981-0C2E-4C44-9C40-A872022AA800}" name="Género" dataDxfId="99"/>
    <tableColumn id="4" xr3:uid="{6349B7CA-F3D8-4CE9-8CCC-7F08F5B907A9}" name="Tipo de Participante" dataDxfId="98"/>
    <tableColumn id="6" xr3:uid="{4475C946-EF3E-44BA-87BE-0A890246688D}" name="Inicio como Faculty" dataDxfId="97"/>
    <tableColumn id="12" xr3:uid="{57DF6EF5-34DC-4589-B163-5B21B0ABD4B8}" name="CORREO UNIVERSIDAD" dataDxfId="96"/>
    <tableColumn id="14" xr3:uid="{CB821B64-CCEA-451D-960C-3881823CC2D7}" name="TELÉFONO" dataDxfId="95"/>
    <tableColumn id="5" xr3:uid="{AC5AE84B-5C2F-4A4D-B2E1-77C0BA5D58C9}" name="DNI" dataDxfId="9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lorenzoromeroivan@gmail.com" TargetMode="External"/><Relationship Id="rId21" Type="http://schemas.openxmlformats.org/officeDocument/2006/relationships/hyperlink" Target="mailto:jonsm2002@gmail.com" TargetMode="External"/><Relationship Id="rId42" Type="http://schemas.openxmlformats.org/officeDocument/2006/relationships/hyperlink" Target="mailto:jesteban020@ikasle.ehu.eus" TargetMode="External"/><Relationship Id="rId63" Type="http://schemas.openxmlformats.org/officeDocument/2006/relationships/hyperlink" Target="mailto:jisabel@biskyteam.com" TargetMode="External"/><Relationship Id="rId84" Type="http://schemas.openxmlformats.org/officeDocument/2006/relationships/hyperlink" Target="mailto:egonzalez@biskyteam.com" TargetMode="External"/><Relationship Id="rId138" Type="http://schemas.openxmlformats.org/officeDocument/2006/relationships/hyperlink" Target="mailto:vllosa@biskyteam.com" TargetMode="External"/><Relationship Id="rId159" Type="http://schemas.openxmlformats.org/officeDocument/2006/relationships/hyperlink" Target="https://www.linkedin.com/in/markel-lacabe-durana-7921a52aa/" TargetMode="External"/><Relationship Id="rId170" Type="http://schemas.openxmlformats.org/officeDocument/2006/relationships/hyperlink" Target="https://www.linkedin.com/in/jon-urizar-du%C3%B1abeitia-0a5ab3260/" TargetMode="External"/><Relationship Id="rId107" Type="http://schemas.openxmlformats.org/officeDocument/2006/relationships/hyperlink" Target="mailto:mdavis002@ikasle.ehu.eus" TargetMode="External"/><Relationship Id="rId11" Type="http://schemas.openxmlformats.org/officeDocument/2006/relationships/hyperlink" Target="mailto:jonanpatxo@gmail.com" TargetMode="External"/><Relationship Id="rId32" Type="http://schemas.openxmlformats.org/officeDocument/2006/relationships/hyperlink" Target="mailto:telmoubietaurrutia@gmail.com" TargetMode="External"/><Relationship Id="rId53" Type="http://schemas.openxmlformats.org/officeDocument/2006/relationships/hyperlink" Target="mailto:egonzalez194@ikasle.ehu.eus" TargetMode="External"/><Relationship Id="rId74" Type="http://schemas.openxmlformats.org/officeDocument/2006/relationships/hyperlink" Target="mailto:japacho@biskyteam.com" TargetMode="External"/><Relationship Id="rId128" Type="http://schemas.openxmlformats.org/officeDocument/2006/relationships/hyperlink" Target="mailto:adairyves@gmail.com" TargetMode="External"/><Relationship Id="rId149" Type="http://schemas.openxmlformats.org/officeDocument/2006/relationships/hyperlink" Target="http://www.linkedin.com/in/jimena-isabel-del-r&#237;o-rodrig&#225;lvarez" TargetMode="External"/><Relationship Id="rId5" Type="http://schemas.openxmlformats.org/officeDocument/2006/relationships/hyperlink" Target="mailto:reibax111@gmail.com" TargetMode="External"/><Relationship Id="rId95" Type="http://schemas.openxmlformats.org/officeDocument/2006/relationships/hyperlink" Target="mailto:jmartinez312@ikasle.ehu.eus" TargetMode="External"/><Relationship Id="rId160" Type="http://schemas.openxmlformats.org/officeDocument/2006/relationships/hyperlink" Target="https://www.linkedin.com/in/unai-ruiz-gonzalez-603127210/" TargetMode="External"/><Relationship Id="rId181" Type="http://schemas.openxmlformats.org/officeDocument/2006/relationships/hyperlink" Target="https://www.linkedin.com/in/adair-gondan-alonso" TargetMode="External"/><Relationship Id="rId22" Type="http://schemas.openxmlformats.org/officeDocument/2006/relationships/hyperlink" Target="mailto:raul.msdb@gmail.com" TargetMode="External"/><Relationship Id="rId43" Type="http://schemas.openxmlformats.org/officeDocument/2006/relationships/hyperlink" Target="mailto:mfrutes001@ikasle.ehu.eus" TargetMode="External"/><Relationship Id="rId64" Type="http://schemas.openxmlformats.org/officeDocument/2006/relationships/hyperlink" Target="mailto:ugomez@biskyteam.com" TargetMode="External"/><Relationship Id="rId118" Type="http://schemas.openxmlformats.org/officeDocument/2006/relationships/hyperlink" Target="mailto:arestiguijoleire@gmail.com" TargetMode="External"/><Relationship Id="rId139" Type="http://schemas.openxmlformats.org/officeDocument/2006/relationships/hyperlink" Target="mailto:tubieta@biskyteam.com" TargetMode="External"/><Relationship Id="rId85" Type="http://schemas.openxmlformats.org/officeDocument/2006/relationships/hyperlink" Target="mailto:mtejada@biskyteam.com" TargetMode="External"/><Relationship Id="rId150" Type="http://schemas.openxmlformats.org/officeDocument/2006/relationships/hyperlink" Target="https://www.linkedin.com/in/josu-del-r%C3%ADo-berasategui-1b4a6920b/" TargetMode="External"/><Relationship Id="rId171" Type="http://schemas.openxmlformats.org/officeDocument/2006/relationships/hyperlink" Target="https://www.linkedin.com/in/mikel-laclau-alvarez-3289b5206/" TargetMode="External"/><Relationship Id="rId12" Type="http://schemas.openxmlformats.org/officeDocument/2006/relationships/hyperlink" Target="mailto:inigo9001@gmail.com" TargetMode="External"/><Relationship Id="rId33" Type="http://schemas.openxmlformats.org/officeDocument/2006/relationships/hyperlink" Target="mailto:ugomez021@ikasle.ehu.eus" TargetMode="External"/><Relationship Id="rId108" Type="http://schemas.openxmlformats.org/officeDocument/2006/relationships/hyperlink" Target="mailto:asier.lopez454@gmail.com" TargetMode="External"/><Relationship Id="rId129" Type="http://schemas.openxmlformats.org/officeDocument/2006/relationships/hyperlink" Target="mailto:rmsaez@biskyteam.com" TargetMode="External"/><Relationship Id="rId54" Type="http://schemas.openxmlformats.org/officeDocument/2006/relationships/hyperlink" Target="mailto:rmarcos010@ikasle.ehu.eus" TargetMode="External"/><Relationship Id="rId75" Type="http://schemas.openxmlformats.org/officeDocument/2006/relationships/hyperlink" Target="mailto:imartinez@biskyteam.com" TargetMode="External"/><Relationship Id="rId96" Type="http://schemas.openxmlformats.org/officeDocument/2006/relationships/hyperlink" Target="mailto:ilorenzo017@ikasle.ehu.eus" TargetMode="External"/><Relationship Id="rId140" Type="http://schemas.openxmlformats.org/officeDocument/2006/relationships/hyperlink" Target="mailto:laresti@biskyteam.com" TargetMode="External"/><Relationship Id="rId161" Type="http://schemas.openxmlformats.org/officeDocument/2006/relationships/hyperlink" Target="https://www.linkedin.com/in/juan-bilbao-pazos-6b7a66225/" TargetMode="External"/><Relationship Id="rId182" Type="http://schemas.openxmlformats.org/officeDocument/2006/relationships/hyperlink" Target="https://www.linkedin.com/in/leire-garcia-goyoaga-7ba54a373" TargetMode="External"/><Relationship Id="rId6" Type="http://schemas.openxmlformats.org/officeDocument/2006/relationships/hyperlink" Target="mailto:xabiermgp@gmail.com" TargetMode="External"/><Relationship Id="rId23" Type="http://schemas.openxmlformats.org/officeDocument/2006/relationships/hyperlink" Target="mailto:maidertr@gmail.com" TargetMode="External"/><Relationship Id="rId119" Type="http://schemas.openxmlformats.org/officeDocument/2006/relationships/hyperlink" Target="mailto:laresti005@ikasle.ehu.eus" TargetMode="External"/><Relationship Id="rId44" Type="http://schemas.openxmlformats.org/officeDocument/2006/relationships/hyperlink" Target="mailto:jpacho005@ikasle.ehu.eus" TargetMode="External"/><Relationship Id="rId65" Type="http://schemas.openxmlformats.org/officeDocument/2006/relationships/hyperlink" Target="mailto:melustondo@biskyteam.com" TargetMode="External"/><Relationship Id="rId86" Type="http://schemas.openxmlformats.org/officeDocument/2006/relationships/hyperlink" Target="mailto:ngarmendia@biskyteam.com" TargetMode="External"/><Relationship Id="rId130" Type="http://schemas.openxmlformats.org/officeDocument/2006/relationships/hyperlink" Target="mailto:umartitegi@biskyteam.com" TargetMode="External"/><Relationship Id="rId151" Type="http://schemas.openxmlformats.org/officeDocument/2006/relationships/hyperlink" Target="https://www.linkedin.com/in/maialen-jl-xx99xx/" TargetMode="External"/><Relationship Id="rId172" Type="http://schemas.openxmlformats.org/officeDocument/2006/relationships/hyperlink" Target="https://www.linkedin.com/in/anderarroyokremer/" TargetMode="External"/><Relationship Id="rId13" Type="http://schemas.openxmlformats.org/officeDocument/2006/relationships/hyperlink" Target="mailto:m.jlandeta99@gmail.com" TargetMode="External"/><Relationship Id="rId18" Type="http://schemas.openxmlformats.org/officeDocument/2006/relationships/hyperlink" Target="mailto:annecuevas2015@gmail.com" TargetMode="External"/><Relationship Id="rId39" Type="http://schemas.openxmlformats.org/officeDocument/2006/relationships/hyperlink" Target="mailto:xmillan001@ikasle.ehu.eus" TargetMode="External"/><Relationship Id="rId109" Type="http://schemas.openxmlformats.org/officeDocument/2006/relationships/hyperlink" Target="mailto:laclaumikel@gmail.com" TargetMode="External"/><Relationship Id="rId34" Type="http://schemas.openxmlformats.org/officeDocument/2006/relationships/hyperlink" Target="mailto:jdelrio015@ikasle.ehu.eus" TargetMode="External"/><Relationship Id="rId50" Type="http://schemas.openxmlformats.org/officeDocument/2006/relationships/hyperlink" Target="mailto:erojas007@ikasle.ehu.eus" TargetMode="External"/><Relationship Id="rId55" Type="http://schemas.openxmlformats.org/officeDocument/2006/relationships/hyperlink" Target="mailto:mtejada003@ikasle.ehu.eus" TargetMode="External"/><Relationship Id="rId76" Type="http://schemas.openxmlformats.org/officeDocument/2006/relationships/hyperlink" Target="mailto:mjaureguibeitia@biskyteam.com" TargetMode="External"/><Relationship Id="rId97" Type="http://schemas.openxmlformats.org/officeDocument/2006/relationships/hyperlink" Target="mailto:mcorchado002@ikasle.ehu.eus" TargetMode="External"/><Relationship Id="rId104" Type="http://schemas.openxmlformats.org/officeDocument/2006/relationships/hyperlink" Target="mailto:hernanmarcosserna@gmail.com" TargetMode="External"/><Relationship Id="rId120" Type="http://schemas.openxmlformats.org/officeDocument/2006/relationships/hyperlink" Target="mailto:leiregarciagoyoaga@gmail.com" TargetMode="External"/><Relationship Id="rId125" Type="http://schemas.openxmlformats.org/officeDocument/2006/relationships/hyperlink" Target="mailto:alopez@biskyteam.com" TargetMode="External"/><Relationship Id="rId141" Type="http://schemas.openxmlformats.org/officeDocument/2006/relationships/hyperlink" Target="mailto:aperez@biskyteam.com" TargetMode="External"/><Relationship Id="rId146" Type="http://schemas.openxmlformats.org/officeDocument/2006/relationships/hyperlink" Target="mailto:lgomez@biskyteam.com" TargetMode="External"/><Relationship Id="rId167" Type="http://schemas.openxmlformats.org/officeDocument/2006/relationships/hyperlink" Target="https://www.linkedin.com/in/eneko-gonz%C3%A1lez-b5352921a/" TargetMode="External"/><Relationship Id="rId188" Type="http://schemas.openxmlformats.org/officeDocument/2006/relationships/table" Target="../tables/table1.xml"/><Relationship Id="rId7" Type="http://schemas.openxmlformats.org/officeDocument/2006/relationships/hyperlink" Target="mailto:mariocasqueteupv@gmail.com" TargetMode="External"/><Relationship Id="rId71" Type="http://schemas.openxmlformats.org/officeDocument/2006/relationships/hyperlink" Target="mailto:vbarahona@biskyteam.com" TargetMode="External"/><Relationship Id="rId92" Type="http://schemas.openxmlformats.org/officeDocument/2006/relationships/hyperlink" Target="mailto:tubieta001@ikasle.ehu.eus" TargetMode="External"/><Relationship Id="rId162" Type="http://schemas.openxmlformats.org/officeDocument/2006/relationships/hyperlink" Target="https://www.linkedin.com/in/telmo-ubieta-b2a490336/" TargetMode="External"/><Relationship Id="rId183" Type="http://schemas.openxmlformats.org/officeDocument/2006/relationships/hyperlink" Target="https://www.linkedin.com/in/omar-alonso-quinto-llanto-bb9657254" TargetMode="External"/><Relationship Id="rId2" Type="http://schemas.openxmlformats.org/officeDocument/2006/relationships/hyperlink" Target="mailto:me.elustondo@gmail.com" TargetMode="External"/><Relationship Id="rId29" Type="http://schemas.openxmlformats.org/officeDocument/2006/relationships/hyperlink" Target="mailto:maialends42@gmail.com" TargetMode="External"/><Relationship Id="rId24" Type="http://schemas.openxmlformats.org/officeDocument/2006/relationships/hyperlink" Target="mailto:nereagldr@gmail.com" TargetMode="External"/><Relationship Id="rId40" Type="http://schemas.openxmlformats.org/officeDocument/2006/relationships/hyperlink" Target="mailto:mcasquete001@ikasle.ehu.eus" TargetMode="External"/><Relationship Id="rId45" Type="http://schemas.openxmlformats.org/officeDocument/2006/relationships/hyperlink" Target="mailto:mjaureguibeiti001@ikasle.ehu.eus" TargetMode="External"/><Relationship Id="rId66" Type="http://schemas.openxmlformats.org/officeDocument/2006/relationships/hyperlink" Target="mailto:aarroyo@biskyteam.com" TargetMode="External"/><Relationship Id="rId87" Type="http://schemas.openxmlformats.org/officeDocument/2006/relationships/hyperlink" Target="mailto:lgarcia@biskyteam.com" TargetMode="External"/><Relationship Id="rId110" Type="http://schemas.openxmlformats.org/officeDocument/2006/relationships/hyperlink" Target="mailto:mlaclau001@ikasle.ehu.eus" TargetMode="External"/><Relationship Id="rId115" Type="http://schemas.openxmlformats.org/officeDocument/2006/relationships/hyperlink" Target="mailto:pjami2005@gmail.com" TargetMode="External"/><Relationship Id="rId131" Type="http://schemas.openxmlformats.org/officeDocument/2006/relationships/hyperlink" Target="mailto:mdavis@biskyteam.com" TargetMode="External"/><Relationship Id="rId136" Type="http://schemas.openxmlformats.org/officeDocument/2006/relationships/hyperlink" Target="mailto:ilorenzo@biskyteam.com" TargetMode="External"/><Relationship Id="rId157" Type="http://schemas.openxmlformats.org/officeDocument/2006/relationships/hyperlink" Target="https://www.linkedin.com/in/jon-secada-martinez/" TargetMode="External"/><Relationship Id="rId178" Type="http://schemas.openxmlformats.org/officeDocument/2006/relationships/hyperlink" Target="https://www.linkedin.com/in/mikel-elustondo" TargetMode="External"/><Relationship Id="rId61" Type="http://schemas.openxmlformats.org/officeDocument/2006/relationships/hyperlink" Target="mailto:jdelrio012@ikasle.ehu.eus" TargetMode="External"/><Relationship Id="rId82" Type="http://schemas.openxmlformats.org/officeDocument/2006/relationships/hyperlink" Target="mailto:ggrijalba@biskyteam.com" TargetMode="External"/><Relationship Id="rId152" Type="http://schemas.openxmlformats.org/officeDocument/2006/relationships/hyperlink" Target="https://www.linkedin.com/in/gorka-grijalba-bara%C3%B1ano-6aa9602a2/" TargetMode="External"/><Relationship Id="rId173" Type="http://schemas.openxmlformats.org/officeDocument/2006/relationships/hyperlink" Target="https://www.linkedin.com/in/maidertr/" TargetMode="External"/><Relationship Id="rId19" Type="http://schemas.openxmlformats.org/officeDocument/2006/relationships/hyperlink" Target="mailto:jonander_03@hotmail.com" TargetMode="External"/><Relationship Id="rId14" Type="http://schemas.openxmlformats.org/officeDocument/2006/relationships/hyperlink" Target="mailto:Imanol.cornejobt@gmail.com" TargetMode="External"/><Relationship Id="rId30" Type="http://schemas.openxmlformats.org/officeDocument/2006/relationships/hyperlink" Target="mailto:uxuemartiel@gmail.com" TargetMode="External"/><Relationship Id="rId35" Type="http://schemas.openxmlformats.org/officeDocument/2006/relationships/hyperlink" Target="mailto:aarroyo024@ikasle.ehu.eus" TargetMode="External"/><Relationship Id="rId56" Type="http://schemas.openxmlformats.org/officeDocument/2006/relationships/hyperlink" Target="mailto:ngarmendia022@ikasle.ehu.eus" TargetMode="External"/><Relationship Id="rId77" Type="http://schemas.openxmlformats.org/officeDocument/2006/relationships/hyperlink" Target="mailto:icornejo@biskyteam.com" TargetMode="External"/><Relationship Id="rId100" Type="http://schemas.openxmlformats.org/officeDocument/2006/relationships/hyperlink" Target="mailto:fbedia001@ikasle.ehu.eus" TargetMode="External"/><Relationship Id="rId105" Type="http://schemas.openxmlformats.org/officeDocument/2006/relationships/hyperlink" Target="mailto:mlacabe002@ikasle.ehu.eus" TargetMode="External"/><Relationship Id="rId126" Type="http://schemas.openxmlformats.org/officeDocument/2006/relationships/hyperlink" Target="mailto:omarqll987@gmail.com" TargetMode="External"/><Relationship Id="rId147" Type="http://schemas.openxmlformats.org/officeDocument/2006/relationships/hyperlink" Target="mailto:leiregoas@gmail.com" TargetMode="External"/><Relationship Id="rId168" Type="http://schemas.openxmlformats.org/officeDocument/2006/relationships/hyperlink" Target="https://www.linkedin.com/in/jon-ander-s%C3%A1nchez-hern%C3%A1ndez-430491165/" TargetMode="External"/><Relationship Id="rId8" Type="http://schemas.openxmlformats.org/officeDocument/2006/relationships/hyperlink" Target="mailto:vickybcu@gmail.com" TargetMode="External"/><Relationship Id="rId51" Type="http://schemas.openxmlformats.org/officeDocument/2006/relationships/hyperlink" Target="mailto:acuevas015@ikasle.ehu.eus" TargetMode="External"/><Relationship Id="rId72" Type="http://schemas.openxmlformats.org/officeDocument/2006/relationships/hyperlink" Target="mailto:jaesteban@biskyteam.com" TargetMode="External"/><Relationship Id="rId93" Type="http://schemas.openxmlformats.org/officeDocument/2006/relationships/hyperlink" Target="mailto:agondan001@ikasle.ehu.eus" TargetMode="External"/><Relationship Id="rId98" Type="http://schemas.openxmlformats.org/officeDocument/2006/relationships/hyperlink" Target="mailto:ggrijalba002@ikasle.ehu.eus" TargetMode="External"/><Relationship Id="rId121" Type="http://schemas.openxmlformats.org/officeDocument/2006/relationships/hyperlink" Target="mailto:molmos@biskyteam.com" TargetMode="External"/><Relationship Id="rId142" Type="http://schemas.openxmlformats.org/officeDocument/2006/relationships/hyperlink" Target="mailto:aperez563@ikasle.ehu.eus" TargetMode="External"/><Relationship Id="rId163" Type="http://schemas.openxmlformats.org/officeDocument/2006/relationships/hyperlink" Target="https://www.linkedin.com/in/unai-gomez/" TargetMode="External"/><Relationship Id="rId184" Type="http://schemas.openxmlformats.org/officeDocument/2006/relationships/hyperlink" Target="https://www.linkedin.com/in/markelcorchado" TargetMode="External"/><Relationship Id="rId3" Type="http://schemas.openxmlformats.org/officeDocument/2006/relationships/hyperlink" Target="mailto:jimenadelrio1@gmail.com" TargetMode="External"/><Relationship Id="rId25" Type="http://schemas.openxmlformats.org/officeDocument/2006/relationships/hyperlink" Target="mailto:andercoma77@gmail.com" TargetMode="External"/><Relationship Id="rId46" Type="http://schemas.openxmlformats.org/officeDocument/2006/relationships/hyperlink" Target="mailto:imartinez280@ikasle.ehu.eus" TargetMode="External"/><Relationship Id="rId67" Type="http://schemas.openxmlformats.org/officeDocument/2006/relationships/hyperlink" Target="mailto:asalgado@biskyteam.com" TargetMode="External"/><Relationship Id="rId116" Type="http://schemas.openxmlformats.org/officeDocument/2006/relationships/hyperlink" Target="mailto:victorllosa06@gmail.com" TargetMode="External"/><Relationship Id="rId137" Type="http://schemas.openxmlformats.org/officeDocument/2006/relationships/hyperlink" Target="mailto:jmartinez@biskyteam.com" TargetMode="External"/><Relationship Id="rId158" Type="http://schemas.openxmlformats.org/officeDocument/2006/relationships/hyperlink" Target="https://www.linkedin.com/in/anne-cuevas-molinos-10a4111b6/" TargetMode="External"/><Relationship Id="rId20" Type="http://schemas.openxmlformats.org/officeDocument/2006/relationships/hyperlink" Target="mailto:enekogonzalez73@gmail.com" TargetMode="External"/><Relationship Id="rId41" Type="http://schemas.openxmlformats.org/officeDocument/2006/relationships/hyperlink" Target="mailto:Vbarahona001@ikasle.ehu.eus" TargetMode="External"/><Relationship Id="rId62" Type="http://schemas.openxmlformats.org/officeDocument/2006/relationships/hyperlink" Target="mailto:uruiz026@ikasle.ehu.eus" TargetMode="External"/><Relationship Id="rId83" Type="http://schemas.openxmlformats.org/officeDocument/2006/relationships/hyperlink" Target="mailto:acuevas@biskyteam.com" TargetMode="External"/><Relationship Id="rId88" Type="http://schemas.openxmlformats.org/officeDocument/2006/relationships/hyperlink" Target="mailto:acorral@biskyteam.com" TargetMode="External"/><Relationship Id="rId111" Type="http://schemas.openxmlformats.org/officeDocument/2006/relationships/hyperlink" Target="mailto:martinaolmosmurcia@gmail.com" TargetMode="External"/><Relationship Id="rId132" Type="http://schemas.openxmlformats.org/officeDocument/2006/relationships/hyperlink" Target="mailto:jasanchez@biskyteam.com" TargetMode="External"/><Relationship Id="rId153" Type="http://schemas.openxmlformats.org/officeDocument/2006/relationships/hyperlink" Target="https://www.linkedin.com/in/marta-g%C3%B3mez-fueyo/" TargetMode="External"/><Relationship Id="rId174" Type="http://schemas.openxmlformats.org/officeDocument/2006/relationships/hyperlink" Target="https://www.linkedin.com/in/nereagarmendialopezderobles/" TargetMode="External"/><Relationship Id="rId179" Type="http://schemas.openxmlformats.org/officeDocument/2006/relationships/hyperlink" Target="https://www.linkedin.com/in/jon-ander-pacho-garcia-014069352" TargetMode="External"/><Relationship Id="rId15" Type="http://schemas.openxmlformats.org/officeDocument/2006/relationships/hyperlink" Target="mailto:Juanbilbaopazos@gmail.com" TargetMode="External"/><Relationship Id="rId36" Type="http://schemas.openxmlformats.org/officeDocument/2006/relationships/hyperlink" Target="mailto:melustondo003@ikasle.ehu.eus" TargetMode="External"/><Relationship Id="rId57" Type="http://schemas.openxmlformats.org/officeDocument/2006/relationships/hyperlink" Target="mailto:lgarcia246@ikasle.ehu.eus" TargetMode="External"/><Relationship Id="rId106" Type="http://schemas.openxmlformats.org/officeDocument/2006/relationships/hyperlink" Target="mailto:umartitegi001@ikasle.ehu.eus" TargetMode="External"/><Relationship Id="rId127" Type="http://schemas.openxmlformats.org/officeDocument/2006/relationships/hyperlink" Target="mailto:corchadomarkel@gmail.com" TargetMode="External"/><Relationship Id="rId10" Type="http://schemas.openxmlformats.org/officeDocument/2006/relationships/hyperlink" Target="mailto:urquetin@gmail.com" TargetMode="External"/><Relationship Id="rId31" Type="http://schemas.openxmlformats.org/officeDocument/2006/relationships/hyperlink" Target="mailto:markel.lacabe1@gmail.com" TargetMode="External"/><Relationship Id="rId52" Type="http://schemas.openxmlformats.org/officeDocument/2006/relationships/hyperlink" Target="mailto:jsanchez158@ikasle.ehu.eus" TargetMode="External"/><Relationship Id="rId73" Type="http://schemas.openxmlformats.org/officeDocument/2006/relationships/hyperlink" Target="mailto:mfrutes@biskyteam.com" TargetMode="External"/><Relationship Id="rId78" Type="http://schemas.openxmlformats.org/officeDocument/2006/relationships/hyperlink" Target="mailto:jbilbao@biskyteam.com" TargetMode="External"/><Relationship Id="rId94" Type="http://schemas.openxmlformats.org/officeDocument/2006/relationships/hyperlink" Target="mailto:vllosa001@ikasle.ehu.eus" TargetMode="External"/><Relationship Id="rId99" Type="http://schemas.openxmlformats.org/officeDocument/2006/relationships/hyperlink" Target="mailto:mgomez256@ikasle.ehu.eus" TargetMode="External"/><Relationship Id="rId101" Type="http://schemas.openxmlformats.org/officeDocument/2006/relationships/hyperlink" Target="mailto:alopez572@ikasle.ehu.eus" TargetMode="External"/><Relationship Id="rId122" Type="http://schemas.openxmlformats.org/officeDocument/2006/relationships/hyperlink" Target="mailto:mgomez@biskyteam.com" TargetMode="External"/><Relationship Id="rId143" Type="http://schemas.openxmlformats.org/officeDocument/2006/relationships/hyperlink" Target="mailto:alexpg198297@gmail.com" TargetMode="External"/><Relationship Id="rId148" Type="http://schemas.openxmlformats.org/officeDocument/2006/relationships/hyperlink" Target="mailto:delriojimena1@gmail.com" TargetMode="External"/><Relationship Id="rId164" Type="http://schemas.openxmlformats.org/officeDocument/2006/relationships/hyperlink" Target="https://www.linkedin.com/in/jon-andoni-esteban-arenas-9579561b8/" TargetMode="External"/><Relationship Id="rId169" Type="http://schemas.openxmlformats.org/officeDocument/2006/relationships/hyperlink" Target="https://www.linkedin.com/in/ra%C3%BAlmarcos/" TargetMode="External"/><Relationship Id="rId185" Type="http://schemas.openxmlformats.org/officeDocument/2006/relationships/hyperlink" Target="https://www.linkedin.com/in/iv&#225;n-lorenzo-romero-4b72b0255" TargetMode="External"/><Relationship Id="rId4" Type="http://schemas.openxmlformats.org/officeDocument/2006/relationships/hyperlink" Target="mailto:a.arroyok@gmail.com" TargetMode="External"/><Relationship Id="rId9" Type="http://schemas.openxmlformats.org/officeDocument/2006/relationships/hyperlink" Target="mailto:jonaneste02@gmail.com" TargetMode="External"/><Relationship Id="rId180" Type="http://schemas.openxmlformats.org/officeDocument/2006/relationships/hyperlink" Target="http://www.linkedin.com/in/inigo-martinez-pena-a8308129a" TargetMode="External"/><Relationship Id="rId26" Type="http://schemas.openxmlformats.org/officeDocument/2006/relationships/hyperlink" Target="mailto:carlaraepiercey@gmail.com" TargetMode="External"/><Relationship Id="rId47" Type="http://schemas.openxmlformats.org/officeDocument/2006/relationships/hyperlink" Target="mailto:icornejo002@ikasle.ehu.eus" TargetMode="External"/><Relationship Id="rId68" Type="http://schemas.openxmlformats.org/officeDocument/2006/relationships/hyperlink" Target="mailto:xmillan@biskyteam.com" TargetMode="External"/><Relationship Id="rId89" Type="http://schemas.openxmlformats.org/officeDocument/2006/relationships/hyperlink" Target="mailto:cpiercey@biskyteam.com" TargetMode="External"/><Relationship Id="rId112" Type="http://schemas.openxmlformats.org/officeDocument/2006/relationships/hyperlink" Target="mailto:molmos004@ikasle.ehu.eus" TargetMode="External"/><Relationship Id="rId133" Type="http://schemas.openxmlformats.org/officeDocument/2006/relationships/hyperlink" Target="mailto:mcorchado@biskyteam.com" TargetMode="External"/><Relationship Id="rId154" Type="http://schemas.openxmlformats.org/officeDocument/2006/relationships/hyperlink" Target="https://www.linkedin.com/in/asier-salgado-9676972b4/" TargetMode="External"/><Relationship Id="rId175" Type="http://schemas.openxmlformats.org/officeDocument/2006/relationships/hyperlink" Target="https://www.linkedin.com/in/mario-casquete-de-la-puente-8327b82a0/" TargetMode="External"/><Relationship Id="rId16" Type="http://schemas.openxmlformats.org/officeDocument/2006/relationships/hyperlink" Target="mailto:Erikrojasue@gmail.com" TargetMode="External"/><Relationship Id="rId37" Type="http://schemas.openxmlformats.org/officeDocument/2006/relationships/hyperlink" Target="mailto:asalgado013@ikasle.ehu.eus" TargetMode="External"/><Relationship Id="rId58" Type="http://schemas.openxmlformats.org/officeDocument/2006/relationships/hyperlink" Target="mailto:acorral029@ikasle.ehu.eus" TargetMode="External"/><Relationship Id="rId79" Type="http://schemas.openxmlformats.org/officeDocument/2006/relationships/hyperlink" Target="mailto:agondan@biskyteam.com" TargetMode="External"/><Relationship Id="rId102" Type="http://schemas.openxmlformats.org/officeDocument/2006/relationships/hyperlink" Target="mailto:hmarcos005@ikasle.ehu.eus" TargetMode="External"/><Relationship Id="rId123" Type="http://schemas.openxmlformats.org/officeDocument/2006/relationships/hyperlink" Target="mailto:hmarcos@biskyteam.com" TargetMode="External"/><Relationship Id="rId144" Type="http://schemas.openxmlformats.org/officeDocument/2006/relationships/hyperlink" Target="mailto:xabier.millan@gmail.com" TargetMode="External"/><Relationship Id="rId90" Type="http://schemas.openxmlformats.org/officeDocument/2006/relationships/hyperlink" Target="mailto:jdelrio@biskyteam.com" TargetMode="External"/><Relationship Id="rId165" Type="http://schemas.openxmlformats.org/officeDocument/2006/relationships/hyperlink" Target="https://www.linkedin.com/in/victoria-barahona-campo-050a50300/" TargetMode="External"/><Relationship Id="rId186" Type="http://schemas.openxmlformats.org/officeDocument/2006/relationships/hyperlink" Target="mailto:asiersalgado2210@gmail.com" TargetMode="External"/><Relationship Id="rId27" Type="http://schemas.openxmlformats.org/officeDocument/2006/relationships/hyperlink" Target="mailto:josdriuu@gmail.com" TargetMode="External"/><Relationship Id="rId48" Type="http://schemas.openxmlformats.org/officeDocument/2006/relationships/hyperlink" Target="mailto:jbilbao112@ikasle.ehu.eus" TargetMode="External"/><Relationship Id="rId69" Type="http://schemas.openxmlformats.org/officeDocument/2006/relationships/hyperlink" Target="mailto:xmartinez@biskyteam.com" TargetMode="External"/><Relationship Id="rId113" Type="http://schemas.openxmlformats.org/officeDocument/2006/relationships/hyperlink" Target="mailto:jurizar005@ikasle.ehu.eus" TargetMode="External"/><Relationship Id="rId134" Type="http://schemas.openxmlformats.org/officeDocument/2006/relationships/hyperlink" Target="mailto:gcastillo@biskyteam.com" TargetMode="External"/><Relationship Id="rId80" Type="http://schemas.openxmlformats.org/officeDocument/2006/relationships/hyperlink" Target="mailto:jsecada@biskyteam.com" TargetMode="External"/><Relationship Id="rId155" Type="http://schemas.openxmlformats.org/officeDocument/2006/relationships/hyperlink" Target="https://www.linkedin.com/in/xabier-mart%C3%ADnez-guevara-358881269/" TargetMode="External"/><Relationship Id="rId176" Type="http://schemas.openxmlformats.org/officeDocument/2006/relationships/hyperlink" Target="https://www.linkedin.com/in/xabier-mill%C3%A1n-cavadas-b04518254/" TargetMode="External"/><Relationship Id="rId17" Type="http://schemas.openxmlformats.org/officeDocument/2006/relationships/hyperlink" Target="mailto:gorka.gb.0602@gmail.com" TargetMode="External"/><Relationship Id="rId38" Type="http://schemas.openxmlformats.org/officeDocument/2006/relationships/hyperlink" Target="mailto:xmartinez023@ikasle.ehu.eus" TargetMode="External"/><Relationship Id="rId59" Type="http://schemas.openxmlformats.org/officeDocument/2006/relationships/hyperlink" Target="mailto:cpiercey001@ikasle.ehu.eus" TargetMode="External"/><Relationship Id="rId103" Type="http://schemas.openxmlformats.org/officeDocument/2006/relationships/hyperlink" Target="mailto:fabianbedia06@gmail.com" TargetMode="External"/><Relationship Id="rId124" Type="http://schemas.openxmlformats.org/officeDocument/2006/relationships/hyperlink" Target="mailto:fbedia@biskyteam.com" TargetMode="External"/><Relationship Id="rId70" Type="http://schemas.openxmlformats.org/officeDocument/2006/relationships/hyperlink" Target="mailto:mcasquete@biskyteam.com" TargetMode="External"/><Relationship Id="rId91" Type="http://schemas.openxmlformats.org/officeDocument/2006/relationships/hyperlink" Target="mailto:uruiz@biskyteam.com" TargetMode="External"/><Relationship Id="rId145" Type="http://schemas.openxmlformats.org/officeDocument/2006/relationships/hyperlink" Target="mailto:lgomez107@ikasle.ehu.eus" TargetMode="External"/><Relationship Id="rId166" Type="http://schemas.openxmlformats.org/officeDocument/2006/relationships/hyperlink" Target="https://www.linkedin.com/in/imanol-cornejo-fernandez-44990b333/" TargetMode="External"/><Relationship Id="rId187" Type="http://schemas.openxmlformats.org/officeDocument/2006/relationships/printerSettings" Target="../printerSettings/printerSettings1.bin"/><Relationship Id="rId1" Type="http://schemas.openxmlformats.org/officeDocument/2006/relationships/hyperlink" Target="mailto:unaigoas2002@gmail.com" TargetMode="External"/><Relationship Id="rId28" Type="http://schemas.openxmlformats.org/officeDocument/2006/relationships/hyperlink" Target="mailto:ruizgonzalezunai@gmail.com" TargetMode="External"/><Relationship Id="rId49" Type="http://schemas.openxmlformats.org/officeDocument/2006/relationships/hyperlink" Target="mailto:jsecada001@ikasle.ehu.eus" TargetMode="External"/><Relationship Id="rId114" Type="http://schemas.openxmlformats.org/officeDocument/2006/relationships/hyperlink" Target="mailto:jon.u.dunabeitia@gmail.com" TargetMode="External"/><Relationship Id="rId60" Type="http://schemas.openxmlformats.org/officeDocument/2006/relationships/hyperlink" Target="mailto:oquinto001@ikasle.ehu.eus" TargetMode="External"/><Relationship Id="rId81" Type="http://schemas.openxmlformats.org/officeDocument/2006/relationships/hyperlink" Target="mailto:erojas@biskyteam.com" TargetMode="External"/><Relationship Id="rId135" Type="http://schemas.openxmlformats.org/officeDocument/2006/relationships/hyperlink" Target="mailto:oalonso@biskyteam.com" TargetMode="External"/><Relationship Id="rId156" Type="http://schemas.openxmlformats.org/officeDocument/2006/relationships/hyperlink" Target="https://www.linkedin.com/in/erik-rojas-uribe-etxebarria/" TargetMode="External"/><Relationship Id="rId177" Type="http://schemas.openxmlformats.org/officeDocument/2006/relationships/hyperlink" Target="https://www.linkedin.com/in/carla-piercey-gonzalez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alomar02@gmail.com" TargetMode="External"/><Relationship Id="rId18" Type="http://schemas.openxmlformats.org/officeDocument/2006/relationships/hyperlink" Target="mailto:rcarmona@biskyteam.com" TargetMode="External"/><Relationship Id="rId26" Type="http://schemas.openxmlformats.org/officeDocument/2006/relationships/hyperlink" Target="mailto:Ihoz@biskyteam.com" TargetMode="External"/><Relationship Id="rId21" Type="http://schemas.openxmlformats.org/officeDocument/2006/relationships/hyperlink" Target="mailto:Ihoz@biskyteam.com" TargetMode="External"/><Relationship Id="rId34" Type="http://schemas.openxmlformats.org/officeDocument/2006/relationships/hyperlink" Target="https://es.linkedin.com/in/markel-perona-guerra-66b0591a1?trk=public_profile_browsemap" TargetMode="External"/><Relationship Id="rId7" Type="http://schemas.openxmlformats.org/officeDocument/2006/relationships/hyperlink" Target="mailto:mperona001@ikasle.ehu.eus" TargetMode="External"/><Relationship Id="rId12" Type="http://schemas.openxmlformats.org/officeDocument/2006/relationships/hyperlink" Target="mailto:mlopez388@ikasle.ehu.eus" TargetMode="External"/><Relationship Id="rId17" Type="http://schemas.openxmlformats.org/officeDocument/2006/relationships/hyperlink" Target="mailto:brunoygbs@gmail.com" TargetMode="External"/><Relationship Id="rId25" Type="http://schemas.openxmlformats.org/officeDocument/2006/relationships/hyperlink" Target="mailto:ihoz001@ikasle.ehu.eus" TargetMode="External"/><Relationship Id="rId33" Type="http://schemas.openxmlformats.org/officeDocument/2006/relationships/hyperlink" Target="https://es.linkedin.com/in/diego-yannick-fonseca" TargetMode="External"/><Relationship Id="rId2" Type="http://schemas.openxmlformats.org/officeDocument/2006/relationships/hyperlink" Target="mailto:bjimeno@biskyteam.com" TargetMode="External"/><Relationship Id="rId16" Type="http://schemas.openxmlformats.org/officeDocument/2006/relationships/hyperlink" Target="mailto:byera001@ikasle.ehu.eus" TargetMode="External"/><Relationship Id="rId20" Type="http://schemas.openxmlformats.org/officeDocument/2006/relationships/hyperlink" Target="mailto:robertocarmona2000@gmail.com" TargetMode="External"/><Relationship Id="rId29" Type="http://schemas.openxmlformats.org/officeDocument/2006/relationships/hyperlink" Target="https://www.linkedin.com/in/bruno-yera-gonzalez/" TargetMode="External"/><Relationship Id="rId1" Type="http://schemas.openxmlformats.org/officeDocument/2006/relationships/hyperlink" Target="https://www.linkedin.com/in/borja-jimeno-soto-66b04616b" TargetMode="External"/><Relationship Id="rId6" Type="http://schemas.openxmlformats.org/officeDocument/2006/relationships/hyperlink" Target="mailto:marpergue@gmail.com" TargetMode="External"/><Relationship Id="rId11" Type="http://schemas.openxmlformats.org/officeDocument/2006/relationships/hyperlink" Target="mailto:immartinez@biskyteam.com" TargetMode="External"/><Relationship Id="rId24" Type="http://schemas.openxmlformats.org/officeDocument/2006/relationships/hyperlink" Target="mailto:irunehoz@gmail.com" TargetMode="External"/><Relationship Id="rId32" Type="http://schemas.openxmlformats.org/officeDocument/2006/relationships/hyperlink" Target="https://es.linkedin.com/in/aitor-barrena-blanco-48992b1b6" TargetMode="External"/><Relationship Id="rId37" Type="http://schemas.openxmlformats.org/officeDocument/2006/relationships/table" Target="../tables/table2.xml"/><Relationship Id="rId5" Type="http://schemas.openxmlformats.org/officeDocument/2006/relationships/hyperlink" Target="mailto:diru1618@gmail.com" TargetMode="External"/><Relationship Id="rId15" Type="http://schemas.openxmlformats.org/officeDocument/2006/relationships/hyperlink" Target="mailto:byera@biskyteam.com" TargetMode="External"/><Relationship Id="rId23" Type="http://schemas.openxmlformats.org/officeDocument/2006/relationships/hyperlink" Target="mailto:irunehoz@gmail.com" TargetMode="External"/><Relationship Id="rId28" Type="http://schemas.openxmlformats.org/officeDocument/2006/relationships/hyperlink" Target="https://www.linkedin.com/in/roberto-carmona-goicoechea-7241252a0/" TargetMode="External"/><Relationship Id="rId36" Type="http://schemas.openxmlformats.org/officeDocument/2006/relationships/hyperlink" Target="mailto:abarrena@biskyteam.com" TargetMode="External"/><Relationship Id="rId10" Type="http://schemas.openxmlformats.org/officeDocument/2006/relationships/hyperlink" Target="mailto:imartinez303@ikasle.ehu.eus" TargetMode="External"/><Relationship Id="rId19" Type="http://schemas.openxmlformats.org/officeDocument/2006/relationships/hyperlink" Target="mailto:rcarmona006@ikasle.ehu.eus" TargetMode="External"/><Relationship Id="rId31" Type="http://schemas.openxmlformats.org/officeDocument/2006/relationships/hyperlink" Target="https://es.linkedin.com/in/marta-guinea-garcia-" TargetMode="External"/><Relationship Id="rId4" Type="http://schemas.openxmlformats.org/officeDocument/2006/relationships/hyperlink" Target="mailto:dfonseca002@ikasle.ehu.eus" TargetMode="External"/><Relationship Id="rId9" Type="http://schemas.openxmlformats.org/officeDocument/2006/relationships/hyperlink" Target="mailto:imanolm.upv@gmail.com" TargetMode="External"/><Relationship Id="rId14" Type="http://schemas.openxmlformats.org/officeDocument/2006/relationships/hyperlink" Target="mailto:mlopez@biskyteam.com" TargetMode="External"/><Relationship Id="rId22" Type="http://schemas.openxmlformats.org/officeDocument/2006/relationships/hyperlink" Target="mailto:ihoz001@ikasle.ehu.eus" TargetMode="External"/><Relationship Id="rId27" Type="http://schemas.openxmlformats.org/officeDocument/2006/relationships/hyperlink" Target="https://www.linkedin.com/in/irune-hoz-bregel/" TargetMode="External"/><Relationship Id="rId30" Type="http://schemas.openxmlformats.org/officeDocument/2006/relationships/hyperlink" Target="https://www.linkedin.com/in/mar%C3%ADa-l%C3%B3pez-mart%C3%ADn-095836315/" TargetMode="External"/><Relationship Id="rId35" Type="http://schemas.openxmlformats.org/officeDocument/2006/relationships/hyperlink" Target="https://es.linkedin.com/in/imanol-mart%C3%ADnez-macho-a280892a0" TargetMode="External"/><Relationship Id="rId8" Type="http://schemas.openxmlformats.org/officeDocument/2006/relationships/hyperlink" Target="mailto:mperona@biskyteam.com" TargetMode="External"/><Relationship Id="rId3" Type="http://schemas.openxmlformats.org/officeDocument/2006/relationships/hyperlink" Target="mailto:dfonseca@biskyteam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umoreno@biskyteam.com" TargetMode="External"/><Relationship Id="rId13" Type="http://schemas.openxmlformats.org/officeDocument/2006/relationships/hyperlink" Target="mailto:pcarballo@biskyteam.com" TargetMode="External"/><Relationship Id="rId18" Type="http://schemas.openxmlformats.org/officeDocument/2006/relationships/hyperlink" Target="mailto:ekaitzungo@gmail.com" TargetMode="External"/><Relationship Id="rId26" Type="http://schemas.openxmlformats.org/officeDocument/2006/relationships/hyperlink" Target="mailto:victoriaibalma@gmail.com&#160;" TargetMode="External"/><Relationship Id="rId3" Type="http://schemas.openxmlformats.org/officeDocument/2006/relationships/hyperlink" Target="mailto:resentecedric@gmail.com" TargetMode="External"/><Relationship Id="rId21" Type="http://schemas.openxmlformats.org/officeDocument/2006/relationships/hyperlink" Target="mailto:mgaafar001@ikasle.ehu.eus" TargetMode="External"/><Relationship Id="rId7" Type="http://schemas.openxmlformats.org/officeDocument/2006/relationships/hyperlink" Target="mailto:unaimoreno36@gmail.com" TargetMode="External"/><Relationship Id="rId12" Type="http://schemas.openxmlformats.org/officeDocument/2006/relationships/hyperlink" Target="mailto:pcarballo006@ikasle.ehu.eus" TargetMode="External"/><Relationship Id="rId17" Type="http://schemas.openxmlformats.org/officeDocument/2006/relationships/hyperlink" Target="mailto:aibarretxe@biskyteam.com" TargetMode="External"/><Relationship Id="rId25" Type="http://schemas.openxmlformats.org/officeDocument/2006/relationships/hyperlink" Target="mailto:agurtubay@biskyteam.com" TargetMode="External"/><Relationship Id="rId2" Type="http://schemas.openxmlformats.org/officeDocument/2006/relationships/hyperlink" Target="mailto:aporto@biskyteam.com" TargetMode="External"/><Relationship Id="rId16" Type="http://schemas.openxmlformats.org/officeDocument/2006/relationships/hyperlink" Target="mailto:aibarretxe004@ikasle.ehu.eus" TargetMode="External"/><Relationship Id="rId20" Type="http://schemas.openxmlformats.org/officeDocument/2006/relationships/hyperlink" Target="mailto:eungo@biskyteam.com" TargetMode="External"/><Relationship Id="rId29" Type="http://schemas.openxmlformats.org/officeDocument/2006/relationships/table" Target="../tables/table3.xml"/><Relationship Id="rId1" Type="http://schemas.openxmlformats.org/officeDocument/2006/relationships/hyperlink" Target="mailto:aporto002@ikasle.ehu.eus" TargetMode="External"/><Relationship Id="rId6" Type="http://schemas.openxmlformats.org/officeDocument/2006/relationships/hyperlink" Target="mailto:antoinemartinezbeau@gmail.com" TargetMode="External"/><Relationship Id="rId11" Type="http://schemas.openxmlformats.org/officeDocument/2006/relationships/hyperlink" Target="mailto:gcastillo008@ikasle.ehu.eus" TargetMode="External"/><Relationship Id="rId24" Type="http://schemas.openxmlformats.org/officeDocument/2006/relationships/hyperlink" Target="mailto:agurtubay005@ikasle.ehu.eus" TargetMode="External"/><Relationship Id="rId5" Type="http://schemas.openxmlformats.org/officeDocument/2006/relationships/hyperlink" Target="mailto:amartinez485@ikasle.ehu.eus" TargetMode="External"/><Relationship Id="rId15" Type="http://schemas.openxmlformats.org/officeDocument/2006/relationships/hyperlink" Target="mailto:asieribarretxe8@gmail.com" TargetMode="External"/><Relationship Id="rId23" Type="http://schemas.openxmlformats.org/officeDocument/2006/relationships/hyperlink" Target="mailto:ainaragurtubay1@gmail.com" TargetMode="External"/><Relationship Id="rId28" Type="http://schemas.openxmlformats.org/officeDocument/2006/relationships/hyperlink" Target="mailto:valmaraz@biskyteam.com" TargetMode="External"/><Relationship Id="rId10" Type="http://schemas.openxmlformats.org/officeDocument/2006/relationships/hyperlink" Target="mailto:mrivera@biskyteam.com" TargetMode="External"/><Relationship Id="rId19" Type="http://schemas.openxmlformats.org/officeDocument/2006/relationships/hyperlink" Target="mailto:eungo001@ikasle.ehu.eus" TargetMode="External"/><Relationship Id="rId4" Type="http://schemas.openxmlformats.org/officeDocument/2006/relationships/hyperlink" Target="mailto:amartinez@biskyteam.com" TargetMode="External"/><Relationship Id="rId9" Type="http://schemas.openxmlformats.org/officeDocument/2006/relationships/hyperlink" Target="mailto:mikelrg2003@gmail.com" TargetMode="External"/><Relationship Id="rId14" Type="http://schemas.openxmlformats.org/officeDocument/2006/relationships/hyperlink" Target="mailto:Pcarballo2002@gmail.com" TargetMode="External"/><Relationship Id="rId22" Type="http://schemas.openxmlformats.org/officeDocument/2006/relationships/hyperlink" Target="mailto:mgaafar@biskyteam.com" TargetMode="External"/><Relationship Id="rId27" Type="http://schemas.openxmlformats.org/officeDocument/2006/relationships/hyperlink" Target="mailto:aalmaraz003@ikasle.ehu.eu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pedroluis.arias@ehu.eus" TargetMode="External"/><Relationship Id="rId2" Type="http://schemas.openxmlformats.org/officeDocument/2006/relationships/hyperlink" Target="mailto:ion.agirre@ehu.eus" TargetMode="External"/><Relationship Id="rId1" Type="http://schemas.openxmlformats.org/officeDocument/2006/relationships/hyperlink" Target="mailto:gontzal.lopez@ehu.eus" TargetMode="External"/><Relationship Id="rId6" Type="http://schemas.openxmlformats.org/officeDocument/2006/relationships/table" Target="../tables/table4.xml"/><Relationship Id="rId5" Type="http://schemas.openxmlformats.org/officeDocument/2006/relationships/hyperlink" Target="mailto:ma.illarramendi@ehu.eus" TargetMode="External"/><Relationship Id="rId4" Type="http://schemas.openxmlformats.org/officeDocument/2006/relationships/hyperlink" Target="mailto:victor.petuya@ehu.e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91AF-3A17-479F-B935-BC1A69A13EE1}">
  <dimension ref="A1:D24"/>
  <sheetViews>
    <sheetView zoomScaleNormal="100" workbookViewId="0">
      <selection activeCell="B23" sqref="B23"/>
    </sheetView>
  </sheetViews>
  <sheetFormatPr baseColWidth="10" defaultColWidth="11.42578125" defaultRowHeight="15" x14ac:dyDescent="0.25"/>
  <cols>
    <col min="2" max="2" width="85.7109375" bestFit="1" customWidth="1"/>
    <col min="3" max="3" width="3.140625" customWidth="1"/>
    <col min="4" max="4" width="96.85546875" customWidth="1"/>
  </cols>
  <sheetData>
    <row r="1" spans="1:4" x14ac:dyDescent="0.25">
      <c r="A1" t="s">
        <v>1196</v>
      </c>
    </row>
    <row r="10" spans="1:4" x14ac:dyDescent="0.25">
      <c r="B10" t="s">
        <v>0</v>
      </c>
      <c r="D10" t="s">
        <v>0</v>
      </c>
    </row>
    <row r="11" spans="1:4" x14ac:dyDescent="0.25">
      <c r="B11" t="s">
        <v>1</v>
      </c>
      <c r="D11" t="s">
        <v>2</v>
      </c>
    </row>
    <row r="12" spans="1:4" x14ac:dyDescent="0.25">
      <c r="B12" t="s">
        <v>3</v>
      </c>
      <c r="D12" t="s">
        <v>4</v>
      </c>
    </row>
    <row r="13" spans="1:4" x14ac:dyDescent="0.25">
      <c r="D13" t="s">
        <v>5</v>
      </c>
    </row>
    <row r="14" spans="1:4" x14ac:dyDescent="0.25">
      <c r="D14" t="s">
        <v>6</v>
      </c>
    </row>
    <row r="15" spans="1:4" x14ac:dyDescent="0.25">
      <c r="D15" t="s">
        <v>7</v>
      </c>
    </row>
    <row r="16" spans="1:4" x14ac:dyDescent="0.25">
      <c r="D16" t="s">
        <v>8</v>
      </c>
    </row>
    <row r="17" spans="2:4" x14ac:dyDescent="0.25">
      <c r="D17" t="s">
        <v>9</v>
      </c>
    </row>
    <row r="18" spans="2:4" x14ac:dyDescent="0.25">
      <c r="B18" t="s">
        <v>10</v>
      </c>
    </row>
    <row r="19" spans="2:4" x14ac:dyDescent="0.25">
      <c r="B19" t="s">
        <v>11</v>
      </c>
    </row>
    <row r="24" spans="2:4" x14ac:dyDescent="0.25">
      <c r="B24" s="7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7B83-43C9-47B5-A515-837E171BF756}">
  <sheetPr codeName="Hoja1"/>
  <dimension ref="A1:Z56"/>
  <sheetViews>
    <sheetView tabSelected="1" topLeftCell="A45" zoomScale="83" zoomScaleNormal="70" workbookViewId="0">
      <pane xSplit="2" topLeftCell="G1" activePane="topRight" state="frozen"/>
      <selection pane="topRight" activeCell="M1" sqref="M1"/>
    </sheetView>
  </sheetViews>
  <sheetFormatPr baseColWidth="10" defaultColWidth="11.42578125" defaultRowHeight="15" customHeight="1" x14ac:dyDescent="0.25"/>
  <cols>
    <col min="1" max="1" width="35.42578125" style="7" bestFit="1" customWidth="1"/>
    <col min="2" max="2" width="12.85546875" bestFit="1" customWidth="1"/>
    <col min="3" max="3" width="13.85546875" bestFit="1" customWidth="1"/>
    <col min="4" max="4" width="24.85546875" bestFit="1" customWidth="1"/>
    <col min="5" max="5" width="26.7109375" bestFit="1" customWidth="1"/>
    <col min="6" max="6" width="35.7109375" bestFit="1" customWidth="1"/>
    <col min="7" max="7" width="11.85546875" bestFit="1" customWidth="1"/>
    <col min="8" max="8" width="24.85546875" bestFit="1" customWidth="1"/>
    <col min="9" max="9" width="23.85546875" bestFit="1" customWidth="1"/>
    <col min="10" max="10" width="33" bestFit="1" customWidth="1"/>
    <col min="11" max="11" width="26.28515625" bestFit="1" customWidth="1"/>
    <col min="12" max="12" width="34.7109375" bestFit="1" customWidth="1"/>
    <col min="13" max="13" width="32.85546875" bestFit="1" customWidth="1"/>
    <col min="14" max="14" width="16.42578125" bestFit="1" customWidth="1"/>
    <col min="15" max="15" width="26.140625" bestFit="1" customWidth="1"/>
    <col min="16" max="16" width="88.28515625" bestFit="1" customWidth="1"/>
    <col min="17" max="17" width="116.140625" bestFit="1" customWidth="1"/>
    <col min="18" max="18" width="16.7109375" bestFit="1" customWidth="1"/>
    <col min="19" max="19" width="32.28515625" bestFit="1" customWidth="1"/>
    <col min="20" max="20" width="20.7109375" bestFit="1" customWidth="1"/>
    <col min="21" max="21" width="19.42578125" bestFit="1" customWidth="1"/>
    <col min="22" max="22" width="21.5703125" bestFit="1" customWidth="1"/>
    <col min="23" max="23" width="20.28515625" bestFit="1" customWidth="1"/>
    <col min="24" max="24" width="23.85546875" bestFit="1" customWidth="1"/>
    <col min="25" max="25" width="27.42578125" bestFit="1" customWidth="1"/>
    <col min="26" max="26" width="23.140625" customWidth="1"/>
  </cols>
  <sheetData>
    <row r="1" spans="1:26" ht="30" x14ac:dyDescent="0.25">
      <c r="A1" s="44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4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1" t="s">
        <v>28</v>
      </c>
      <c r="R1" s="1" t="s">
        <v>29</v>
      </c>
      <c r="S1" s="1" t="s">
        <v>30</v>
      </c>
      <c r="T1" s="8" t="s">
        <v>31</v>
      </c>
      <c r="U1" s="8" t="s">
        <v>32</v>
      </c>
      <c r="V1" s="8" t="s">
        <v>33</v>
      </c>
      <c r="W1" s="8" t="s">
        <v>34</v>
      </c>
      <c r="X1" s="8" t="s">
        <v>35</v>
      </c>
      <c r="Y1" s="8" t="s">
        <v>36</v>
      </c>
      <c r="Z1" s="8" t="s">
        <v>37</v>
      </c>
    </row>
    <row r="2" spans="1:26" x14ac:dyDescent="0.25">
      <c r="A2" s="20" t="s">
        <v>38</v>
      </c>
      <c r="B2" s="3">
        <v>1</v>
      </c>
      <c r="C2" s="3" t="s">
        <v>39</v>
      </c>
      <c r="D2" s="3" t="s">
        <v>40</v>
      </c>
      <c r="E2" s="4">
        <v>44082</v>
      </c>
      <c r="F2" s="4">
        <v>44112</v>
      </c>
      <c r="G2" s="3" t="s">
        <v>41</v>
      </c>
      <c r="H2" s="3" t="s">
        <v>42</v>
      </c>
      <c r="I2" s="3"/>
      <c r="J2" s="5" t="s">
        <v>43</v>
      </c>
      <c r="K2" s="3" t="s">
        <v>44</v>
      </c>
      <c r="L2" s="5" t="s">
        <v>45</v>
      </c>
      <c r="M2" s="5" t="s">
        <v>46</v>
      </c>
      <c r="N2" s="3">
        <v>688825602</v>
      </c>
      <c r="O2" s="3" t="s">
        <v>47</v>
      </c>
      <c r="P2" s="3" t="s">
        <v>48</v>
      </c>
      <c r="Q2" s="3" t="s">
        <v>49</v>
      </c>
      <c r="R2" s="3" t="b">
        <v>0</v>
      </c>
      <c r="S2" s="5" t="s">
        <v>50</v>
      </c>
      <c r="T2" s="3" t="b">
        <v>1</v>
      </c>
      <c r="U2" s="3" t="b">
        <v>1</v>
      </c>
      <c r="V2" s="3" t="b">
        <v>1</v>
      </c>
      <c r="W2" s="3" t="b">
        <v>1</v>
      </c>
      <c r="X2" s="3" t="b">
        <v>1</v>
      </c>
      <c r="Y2" s="3" t="b">
        <v>1</v>
      </c>
      <c r="Z2" s="3" t="s">
        <v>51</v>
      </c>
    </row>
    <row r="3" spans="1:26" x14ac:dyDescent="0.25">
      <c r="A3" s="20" t="s">
        <v>52</v>
      </c>
      <c r="B3" s="3">
        <v>2</v>
      </c>
      <c r="C3" s="3" t="s">
        <v>39</v>
      </c>
      <c r="D3" s="3" t="s">
        <v>40</v>
      </c>
      <c r="E3" s="4">
        <v>44137</v>
      </c>
      <c r="F3" s="4">
        <v>44177</v>
      </c>
      <c r="G3" s="3" t="s">
        <v>53</v>
      </c>
      <c r="H3" s="3" t="s">
        <v>54</v>
      </c>
      <c r="I3" s="3"/>
      <c r="J3" s="5" t="s">
        <v>55</v>
      </c>
      <c r="K3" s="3" t="s">
        <v>44</v>
      </c>
      <c r="L3" s="5" t="s">
        <v>56</v>
      </c>
      <c r="M3" s="5" t="s">
        <v>57</v>
      </c>
      <c r="N3" s="3">
        <v>629964492</v>
      </c>
      <c r="O3" s="3" t="s">
        <v>47</v>
      </c>
      <c r="P3" s="3" t="s">
        <v>58</v>
      </c>
      <c r="Q3" s="3" t="s">
        <v>59</v>
      </c>
      <c r="R3" s="3" t="b">
        <v>0</v>
      </c>
      <c r="S3" s="5" t="s">
        <v>60</v>
      </c>
      <c r="T3" s="3" t="b">
        <v>1</v>
      </c>
      <c r="U3" s="30" t="b">
        <v>1</v>
      </c>
      <c r="V3" s="3" t="b">
        <v>1</v>
      </c>
      <c r="W3" s="3" t="b">
        <v>1</v>
      </c>
      <c r="X3" s="3" t="b">
        <v>1</v>
      </c>
      <c r="Y3" s="3" t="b">
        <v>0</v>
      </c>
      <c r="Z3" s="3" t="s">
        <v>51</v>
      </c>
    </row>
    <row r="4" spans="1:26" x14ac:dyDescent="0.25">
      <c r="A4" s="20" t="s">
        <v>61</v>
      </c>
      <c r="B4" s="3">
        <v>3</v>
      </c>
      <c r="C4" s="3" t="s">
        <v>62</v>
      </c>
      <c r="D4" s="3" t="s">
        <v>63</v>
      </c>
      <c r="E4" s="4">
        <v>44456</v>
      </c>
      <c r="F4" s="4">
        <v>44481</v>
      </c>
      <c r="G4" s="3" t="s">
        <v>64</v>
      </c>
      <c r="H4" s="3" t="s">
        <v>54</v>
      </c>
      <c r="I4" s="3"/>
      <c r="J4" s="5" t="s">
        <v>65</v>
      </c>
      <c r="K4" s="5" t="s">
        <v>66</v>
      </c>
      <c r="L4" s="5" t="s">
        <v>67</v>
      </c>
      <c r="M4" s="5" t="s">
        <v>68</v>
      </c>
      <c r="N4" s="3">
        <v>646971469</v>
      </c>
      <c r="O4" s="3" t="s">
        <v>69</v>
      </c>
      <c r="P4" s="3" t="s">
        <v>70</v>
      </c>
      <c r="Q4" s="3" t="s">
        <v>71</v>
      </c>
      <c r="R4" s="3" t="b">
        <v>0</v>
      </c>
      <c r="S4" s="5" t="s">
        <v>72</v>
      </c>
      <c r="T4" s="3" t="b">
        <v>1</v>
      </c>
      <c r="U4" s="30" t="b">
        <v>1</v>
      </c>
      <c r="V4" s="3" t="b">
        <v>1</v>
      </c>
      <c r="W4" s="3" t="b">
        <v>1</v>
      </c>
      <c r="X4" s="3" t="b">
        <v>1</v>
      </c>
      <c r="Y4" s="3" t="b">
        <v>0</v>
      </c>
      <c r="Z4" s="14" t="s">
        <v>73</v>
      </c>
    </row>
    <row r="5" spans="1:26" x14ac:dyDescent="0.25">
      <c r="A5" s="21" t="s">
        <v>74</v>
      </c>
      <c r="B5" s="3">
        <v>4</v>
      </c>
      <c r="C5" s="14" t="s">
        <v>39</v>
      </c>
      <c r="D5" s="14" t="s">
        <v>75</v>
      </c>
      <c r="E5" s="15">
        <v>44456</v>
      </c>
      <c r="F5" s="15">
        <v>44486</v>
      </c>
      <c r="G5" s="14" t="s">
        <v>76</v>
      </c>
      <c r="H5" s="3" t="s">
        <v>77</v>
      </c>
      <c r="I5" s="3"/>
      <c r="J5" s="16" t="s">
        <v>78</v>
      </c>
      <c r="K5" s="14" t="s">
        <v>44</v>
      </c>
      <c r="L5" s="16" t="s">
        <v>79</v>
      </c>
      <c r="M5" s="77" t="s">
        <v>80</v>
      </c>
      <c r="N5" s="14">
        <v>684128280</v>
      </c>
      <c r="O5" s="14" t="s">
        <v>69</v>
      </c>
      <c r="P5" s="14" t="s">
        <v>81</v>
      </c>
      <c r="Q5" s="3" t="s">
        <v>82</v>
      </c>
      <c r="R5" s="3" t="b">
        <v>0</v>
      </c>
      <c r="S5" s="5" t="s">
        <v>83</v>
      </c>
      <c r="T5" s="3" t="b">
        <v>1</v>
      </c>
      <c r="U5" s="3" t="b">
        <v>1</v>
      </c>
      <c r="V5" s="3" t="b">
        <v>1</v>
      </c>
      <c r="W5" s="3" t="b">
        <v>1</v>
      </c>
      <c r="X5" s="3" t="b">
        <v>1</v>
      </c>
      <c r="Y5" s="3" t="b">
        <v>1</v>
      </c>
      <c r="Z5" s="47" t="s">
        <v>73</v>
      </c>
    </row>
    <row r="6" spans="1:26" x14ac:dyDescent="0.25">
      <c r="A6" s="20" t="s">
        <v>84</v>
      </c>
      <c r="B6" s="3">
        <v>5</v>
      </c>
      <c r="C6" s="3" t="s">
        <v>39</v>
      </c>
      <c r="D6" s="3" t="s">
        <v>85</v>
      </c>
      <c r="E6" s="4">
        <v>44465</v>
      </c>
      <c r="F6" s="4">
        <v>44481</v>
      </c>
      <c r="G6" s="3" t="s">
        <v>86</v>
      </c>
      <c r="H6" s="3" t="s">
        <v>87</v>
      </c>
      <c r="I6" s="3"/>
      <c r="J6" s="5" t="s">
        <v>88</v>
      </c>
      <c r="K6" s="3" t="s">
        <v>44</v>
      </c>
      <c r="L6" s="5" t="s">
        <v>89</v>
      </c>
      <c r="M6" s="5" t="s">
        <v>90</v>
      </c>
      <c r="N6" s="3">
        <v>693844570</v>
      </c>
      <c r="O6" s="3" t="s">
        <v>69</v>
      </c>
      <c r="P6" s="3" t="s">
        <v>81</v>
      </c>
      <c r="Q6" s="18" t="s">
        <v>82</v>
      </c>
      <c r="R6" s="3" t="b">
        <v>0</v>
      </c>
      <c r="S6" s="5" t="s">
        <v>91</v>
      </c>
      <c r="T6" s="3" t="b">
        <v>1</v>
      </c>
      <c r="U6" s="3" t="b">
        <v>1</v>
      </c>
      <c r="V6" s="3" t="b">
        <v>1</v>
      </c>
      <c r="W6" s="3" t="b">
        <v>1</v>
      </c>
      <c r="X6" s="3" t="b">
        <v>1</v>
      </c>
      <c r="Y6" s="3" t="b">
        <v>0</v>
      </c>
      <c r="Z6" s="47" t="s">
        <v>92</v>
      </c>
    </row>
    <row r="7" spans="1:26" x14ac:dyDescent="0.25">
      <c r="A7" s="20" t="s">
        <v>93</v>
      </c>
      <c r="B7" s="3">
        <v>6</v>
      </c>
      <c r="C7" s="3" t="s">
        <v>39</v>
      </c>
      <c r="D7" s="3" t="s">
        <v>40</v>
      </c>
      <c r="E7" s="4">
        <v>44482</v>
      </c>
      <c r="F7" s="4">
        <v>44513</v>
      </c>
      <c r="G7" s="3" t="s">
        <v>94</v>
      </c>
      <c r="H7" s="3" t="s">
        <v>95</v>
      </c>
      <c r="I7" s="3"/>
      <c r="J7" s="5" t="s">
        <v>96</v>
      </c>
      <c r="K7" s="3" t="s">
        <v>44</v>
      </c>
      <c r="L7" s="5" t="s">
        <v>97</v>
      </c>
      <c r="M7" s="5" t="s">
        <v>98</v>
      </c>
      <c r="N7" s="3">
        <v>687144411</v>
      </c>
      <c r="O7" s="3" t="s">
        <v>99</v>
      </c>
      <c r="P7" s="3" t="s">
        <v>100</v>
      </c>
      <c r="Q7" s="3"/>
      <c r="R7" s="3" t="b">
        <v>0</v>
      </c>
      <c r="S7" s="5" t="s">
        <v>101</v>
      </c>
      <c r="T7" s="3" t="b">
        <v>1</v>
      </c>
      <c r="U7" s="3" t="b">
        <v>1</v>
      </c>
      <c r="V7" s="3" t="b">
        <v>1</v>
      </c>
      <c r="W7" s="3" t="b">
        <v>1</v>
      </c>
      <c r="X7" s="3" t="b">
        <v>1</v>
      </c>
      <c r="Y7" s="3" t="b">
        <v>1</v>
      </c>
      <c r="Z7" s="47" t="s">
        <v>51</v>
      </c>
    </row>
    <row r="8" spans="1:26" x14ac:dyDescent="0.25">
      <c r="A8" s="21" t="s">
        <v>102</v>
      </c>
      <c r="B8" s="3">
        <v>7</v>
      </c>
      <c r="C8" s="14" t="s">
        <v>39</v>
      </c>
      <c r="D8" s="14" t="s">
        <v>40</v>
      </c>
      <c r="E8" s="15">
        <v>44482</v>
      </c>
      <c r="F8" s="15">
        <v>44885</v>
      </c>
      <c r="G8" s="14" t="s">
        <v>103</v>
      </c>
      <c r="H8" s="14" t="s">
        <v>87</v>
      </c>
      <c r="I8" s="3"/>
      <c r="J8" s="16" t="s">
        <v>104</v>
      </c>
      <c r="K8" s="14" t="s">
        <v>44</v>
      </c>
      <c r="L8" s="16" t="s">
        <v>105</v>
      </c>
      <c r="M8" s="16" t="s">
        <v>106</v>
      </c>
      <c r="N8" s="14">
        <v>688607624</v>
      </c>
      <c r="O8" s="14" t="s">
        <v>69</v>
      </c>
      <c r="P8" s="14" t="s">
        <v>107</v>
      </c>
      <c r="Q8" s="3" t="s">
        <v>82</v>
      </c>
      <c r="R8" s="3" t="b">
        <v>0</v>
      </c>
      <c r="S8" s="5" t="s">
        <v>108</v>
      </c>
      <c r="T8" s="3" t="b">
        <v>1</v>
      </c>
      <c r="U8" s="3" t="b">
        <v>1</v>
      </c>
      <c r="V8" s="3" t="b">
        <v>1</v>
      </c>
      <c r="W8" s="3" t="b">
        <v>1</v>
      </c>
      <c r="X8" s="3" t="b">
        <v>1</v>
      </c>
      <c r="Y8" s="3" t="b">
        <v>0</v>
      </c>
      <c r="Z8" s="47" t="s">
        <v>40</v>
      </c>
    </row>
    <row r="9" spans="1:26" x14ac:dyDescent="0.25">
      <c r="A9" s="20" t="s">
        <v>109</v>
      </c>
      <c r="B9" s="3">
        <v>8</v>
      </c>
      <c r="C9" s="3" t="s">
        <v>62</v>
      </c>
      <c r="D9" s="3" t="s">
        <v>85</v>
      </c>
      <c r="E9" s="4">
        <v>44482</v>
      </c>
      <c r="F9" s="4">
        <v>44885</v>
      </c>
      <c r="G9" s="3" t="s">
        <v>110</v>
      </c>
      <c r="H9" s="3" t="s">
        <v>87</v>
      </c>
      <c r="I9" s="3"/>
      <c r="J9" s="5" t="s">
        <v>111</v>
      </c>
      <c r="K9" s="3" t="s">
        <v>44</v>
      </c>
      <c r="L9" s="5" t="s">
        <v>112</v>
      </c>
      <c r="M9" s="5" t="s">
        <v>113</v>
      </c>
      <c r="N9" s="3">
        <v>688873991</v>
      </c>
      <c r="O9" s="3" t="s">
        <v>69</v>
      </c>
      <c r="P9" s="3" t="s">
        <v>81</v>
      </c>
      <c r="Q9" s="3" t="s">
        <v>82</v>
      </c>
      <c r="R9" s="3" t="b">
        <v>0</v>
      </c>
      <c r="S9" s="5" t="s">
        <v>114</v>
      </c>
      <c r="T9" s="3" t="b">
        <v>1</v>
      </c>
      <c r="U9" s="3" t="b">
        <v>1</v>
      </c>
      <c r="V9" s="3" t="b">
        <v>1</v>
      </c>
      <c r="W9" s="3" t="b">
        <v>1</v>
      </c>
      <c r="X9" s="3" t="b">
        <v>1</v>
      </c>
      <c r="Y9" s="3" t="b">
        <v>0</v>
      </c>
      <c r="Z9" s="26" t="s">
        <v>40</v>
      </c>
    </row>
    <row r="10" spans="1:26" x14ac:dyDescent="0.25">
      <c r="A10" s="20" t="s">
        <v>115</v>
      </c>
      <c r="B10" s="3">
        <v>9</v>
      </c>
      <c r="C10" s="3" t="s">
        <v>39</v>
      </c>
      <c r="D10" s="3" t="s">
        <v>116</v>
      </c>
      <c r="E10" s="4">
        <v>44482</v>
      </c>
      <c r="F10" s="4">
        <v>44513</v>
      </c>
      <c r="G10" s="3" t="s">
        <v>117</v>
      </c>
      <c r="H10" s="3" t="s">
        <v>42</v>
      </c>
      <c r="I10" s="3"/>
      <c r="J10" s="5" t="s">
        <v>118</v>
      </c>
      <c r="K10" s="3" t="s">
        <v>44</v>
      </c>
      <c r="L10" s="5" t="s">
        <v>119</v>
      </c>
      <c r="M10" s="5" t="s">
        <v>120</v>
      </c>
      <c r="N10" s="3">
        <v>619425918</v>
      </c>
      <c r="O10" s="3" t="s">
        <v>69</v>
      </c>
      <c r="P10" s="3" t="s">
        <v>121</v>
      </c>
      <c r="Q10" s="18" t="s">
        <v>71</v>
      </c>
      <c r="R10" s="3" t="b">
        <v>0</v>
      </c>
      <c r="S10" s="5" t="s">
        <v>122</v>
      </c>
      <c r="T10" s="3" t="b">
        <v>1</v>
      </c>
      <c r="U10" s="3" t="b">
        <v>1</v>
      </c>
      <c r="V10" s="3" t="b">
        <v>1</v>
      </c>
      <c r="W10" s="3" t="b">
        <v>1</v>
      </c>
      <c r="X10" s="3" t="b">
        <v>1</v>
      </c>
      <c r="Y10" s="3" t="b">
        <v>1</v>
      </c>
      <c r="Z10" s="3" t="s">
        <v>73</v>
      </c>
    </row>
    <row r="11" spans="1:26" x14ac:dyDescent="0.25">
      <c r="A11" s="20" t="s">
        <v>123</v>
      </c>
      <c r="B11" s="3">
        <v>10</v>
      </c>
      <c r="C11" s="3" t="s">
        <v>39</v>
      </c>
      <c r="D11" s="3" t="s">
        <v>116</v>
      </c>
      <c r="E11" s="4">
        <v>44691</v>
      </c>
      <c r="F11" s="4">
        <v>44722</v>
      </c>
      <c r="G11" s="3" t="s">
        <v>124</v>
      </c>
      <c r="H11" s="3" t="s">
        <v>125</v>
      </c>
      <c r="I11" s="3"/>
      <c r="J11" s="5" t="s">
        <v>126</v>
      </c>
      <c r="K11" s="3" t="s">
        <v>44</v>
      </c>
      <c r="L11" s="5" t="s">
        <v>127</v>
      </c>
      <c r="M11" s="5" t="s">
        <v>128</v>
      </c>
      <c r="N11" s="3">
        <v>617137417</v>
      </c>
      <c r="O11" s="3" t="s">
        <v>99</v>
      </c>
      <c r="P11" s="3" t="s">
        <v>100</v>
      </c>
      <c r="Q11" s="3"/>
      <c r="R11" s="3" t="b">
        <v>0</v>
      </c>
      <c r="S11" s="5" t="s">
        <v>129</v>
      </c>
      <c r="T11" s="3" t="b">
        <v>1</v>
      </c>
      <c r="U11" s="3" t="b">
        <v>1</v>
      </c>
      <c r="V11" s="3" t="b">
        <v>1</v>
      </c>
      <c r="W11" s="3" t="b">
        <v>1</v>
      </c>
      <c r="X11" s="3" t="b">
        <v>1</v>
      </c>
      <c r="Y11" s="3" t="b">
        <v>1</v>
      </c>
      <c r="Z11" s="3" t="s">
        <v>40</v>
      </c>
    </row>
    <row r="12" spans="1:26" x14ac:dyDescent="0.25">
      <c r="A12" s="20" t="s">
        <v>130</v>
      </c>
      <c r="B12" s="3">
        <v>11</v>
      </c>
      <c r="C12" s="3" t="s">
        <v>39</v>
      </c>
      <c r="D12" s="3" t="s">
        <v>40</v>
      </c>
      <c r="E12" s="4">
        <v>44844</v>
      </c>
      <c r="F12" s="4">
        <v>44875</v>
      </c>
      <c r="G12" s="3" t="s">
        <v>131</v>
      </c>
      <c r="H12" s="3" t="s">
        <v>42</v>
      </c>
      <c r="I12" s="3"/>
      <c r="J12" s="5" t="s">
        <v>132</v>
      </c>
      <c r="K12" s="3" t="s">
        <v>44</v>
      </c>
      <c r="L12" s="5" t="s">
        <v>133</v>
      </c>
      <c r="M12" s="5" t="s">
        <v>134</v>
      </c>
      <c r="N12" s="3">
        <v>688866012</v>
      </c>
      <c r="O12" s="3" t="s">
        <v>69</v>
      </c>
      <c r="P12" s="3" t="s">
        <v>70</v>
      </c>
      <c r="Q12" s="3" t="s">
        <v>71</v>
      </c>
      <c r="R12" s="3"/>
      <c r="S12" s="3" t="s">
        <v>135</v>
      </c>
      <c r="T12" s="3" t="b">
        <v>1</v>
      </c>
      <c r="U12" s="3" t="b">
        <v>1</v>
      </c>
      <c r="V12" s="3" t="b">
        <v>1</v>
      </c>
      <c r="W12" s="3" t="b">
        <v>1</v>
      </c>
      <c r="X12" s="3" t="b">
        <v>0</v>
      </c>
      <c r="Y12" s="3" t="b">
        <v>1</v>
      </c>
      <c r="Z12" s="3" t="s">
        <v>51</v>
      </c>
    </row>
    <row r="13" spans="1:26" x14ac:dyDescent="0.25">
      <c r="A13" s="20" t="s">
        <v>136</v>
      </c>
      <c r="B13" s="3">
        <v>12</v>
      </c>
      <c r="C13" s="3" t="s">
        <v>39</v>
      </c>
      <c r="D13" s="3" t="s">
        <v>85</v>
      </c>
      <c r="E13" s="4">
        <v>44844</v>
      </c>
      <c r="F13" s="4">
        <v>44875</v>
      </c>
      <c r="G13" s="3" t="s">
        <v>137</v>
      </c>
      <c r="H13" s="3" t="s">
        <v>42</v>
      </c>
      <c r="I13" s="3"/>
      <c r="J13" s="5" t="s">
        <v>138</v>
      </c>
      <c r="K13" s="3" t="s">
        <v>44</v>
      </c>
      <c r="L13" s="5" t="s">
        <v>139</v>
      </c>
      <c r="M13" s="5" t="s">
        <v>140</v>
      </c>
      <c r="N13" s="3">
        <v>640281841</v>
      </c>
      <c r="O13" s="3" t="s">
        <v>99</v>
      </c>
      <c r="P13" s="3" t="s">
        <v>71</v>
      </c>
      <c r="Q13" s="3"/>
      <c r="R13" s="3" t="b">
        <v>0</v>
      </c>
      <c r="S13" s="5" t="s">
        <v>141</v>
      </c>
      <c r="T13" s="3" t="b">
        <v>1</v>
      </c>
      <c r="U13" s="3" t="b">
        <v>1</v>
      </c>
      <c r="V13" s="3" t="b">
        <v>1</v>
      </c>
      <c r="W13" s="3" t="b">
        <v>1</v>
      </c>
      <c r="X13" s="3" t="b">
        <v>0</v>
      </c>
      <c r="Y13" s="3" t="b">
        <v>1</v>
      </c>
      <c r="Z13" s="3" t="s">
        <v>51</v>
      </c>
    </row>
    <row r="14" spans="1:26" x14ac:dyDescent="0.25">
      <c r="A14" s="20" t="s">
        <v>142</v>
      </c>
      <c r="B14" s="3">
        <v>13</v>
      </c>
      <c r="C14" s="3" t="s">
        <v>39</v>
      </c>
      <c r="D14" s="3" t="s">
        <v>143</v>
      </c>
      <c r="E14" s="4">
        <v>44844</v>
      </c>
      <c r="F14" s="4">
        <v>44875</v>
      </c>
      <c r="G14" s="3" t="s">
        <v>144</v>
      </c>
      <c r="H14" s="3" t="s">
        <v>42</v>
      </c>
      <c r="I14" s="3"/>
      <c r="J14" s="5" t="s">
        <v>145</v>
      </c>
      <c r="K14" s="3" t="s">
        <v>44</v>
      </c>
      <c r="L14" s="5" t="s">
        <v>146</v>
      </c>
      <c r="M14" s="5" t="s">
        <v>147</v>
      </c>
      <c r="N14" s="3">
        <v>697561955</v>
      </c>
      <c r="O14" s="3" t="s">
        <v>69</v>
      </c>
      <c r="P14" s="3" t="s">
        <v>70</v>
      </c>
      <c r="Q14" s="3" t="s">
        <v>71</v>
      </c>
      <c r="R14" s="3" t="b">
        <v>0</v>
      </c>
      <c r="S14" s="5" t="s">
        <v>148</v>
      </c>
      <c r="T14" s="3" t="b">
        <v>1</v>
      </c>
      <c r="U14" s="3" t="b">
        <v>1</v>
      </c>
      <c r="V14" s="3" t="b">
        <v>1</v>
      </c>
      <c r="W14" s="3" t="b">
        <v>1</v>
      </c>
      <c r="X14" s="3" t="b">
        <v>0</v>
      </c>
      <c r="Y14" s="3" t="b">
        <v>1</v>
      </c>
      <c r="Z14" s="3" t="s">
        <v>51</v>
      </c>
    </row>
    <row r="15" spans="1:26" x14ac:dyDescent="0.25">
      <c r="A15" s="20" t="s">
        <v>149</v>
      </c>
      <c r="B15" s="3">
        <v>14</v>
      </c>
      <c r="C15" s="3" t="s">
        <v>39</v>
      </c>
      <c r="D15" s="3" t="s">
        <v>40</v>
      </c>
      <c r="E15" s="4">
        <v>44852</v>
      </c>
      <c r="F15" s="4">
        <v>44875</v>
      </c>
      <c r="G15" s="3" t="s">
        <v>150</v>
      </c>
      <c r="H15" s="3" t="s">
        <v>151</v>
      </c>
      <c r="I15" s="3" t="s">
        <v>54</v>
      </c>
      <c r="J15" s="5" t="s">
        <v>152</v>
      </c>
      <c r="K15" s="3" t="s">
        <v>44</v>
      </c>
      <c r="L15" s="5" t="s">
        <v>153</v>
      </c>
      <c r="M15" s="5" t="s">
        <v>154</v>
      </c>
      <c r="N15" s="3">
        <v>688723130</v>
      </c>
      <c r="O15" s="3" t="s">
        <v>99</v>
      </c>
      <c r="P15" s="3" t="s">
        <v>82</v>
      </c>
      <c r="Q15" s="3"/>
      <c r="R15" s="3" t="b">
        <v>0</v>
      </c>
      <c r="S15" s="28" t="s">
        <v>155</v>
      </c>
      <c r="T15" s="3" t="b">
        <v>1</v>
      </c>
      <c r="U15" s="3" t="b">
        <v>1</v>
      </c>
      <c r="V15" s="3" t="b">
        <v>1</v>
      </c>
      <c r="W15" s="3" t="b">
        <v>1</v>
      </c>
      <c r="X15" s="3" t="b">
        <v>0</v>
      </c>
      <c r="Y15" s="3" t="b">
        <v>1</v>
      </c>
      <c r="Z15" s="3" t="s">
        <v>143</v>
      </c>
    </row>
    <row r="16" spans="1:26" x14ac:dyDescent="0.25">
      <c r="A16" s="20" t="s">
        <v>156</v>
      </c>
      <c r="B16" s="3">
        <v>15</v>
      </c>
      <c r="C16" s="3" t="s">
        <v>39</v>
      </c>
      <c r="D16" s="3" t="s">
        <v>85</v>
      </c>
      <c r="E16" s="4">
        <v>44852</v>
      </c>
      <c r="F16" s="4">
        <v>44875</v>
      </c>
      <c r="G16" s="3" t="s">
        <v>157</v>
      </c>
      <c r="H16" s="3" t="s">
        <v>87</v>
      </c>
      <c r="I16" s="3"/>
      <c r="J16" s="5" t="s">
        <v>158</v>
      </c>
      <c r="K16" s="3" t="s">
        <v>44</v>
      </c>
      <c r="L16" s="5" t="s">
        <v>159</v>
      </c>
      <c r="M16" s="5" t="s">
        <v>160</v>
      </c>
      <c r="N16" s="3">
        <v>633279950</v>
      </c>
      <c r="O16" s="3" t="s">
        <v>99</v>
      </c>
      <c r="P16" s="3" t="s">
        <v>82</v>
      </c>
      <c r="Q16" s="3"/>
      <c r="R16" s="3" t="b">
        <v>0</v>
      </c>
      <c r="S16" s="5" t="s">
        <v>161</v>
      </c>
      <c r="T16" s="3" t="b">
        <v>1</v>
      </c>
      <c r="U16" s="3" t="b">
        <v>1</v>
      </c>
      <c r="V16" s="3" t="b">
        <v>1</v>
      </c>
      <c r="W16" s="3" t="b">
        <v>1</v>
      </c>
      <c r="X16" s="3" t="b">
        <v>0</v>
      </c>
      <c r="Y16" s="3" t="b">
        <v>0</v>
      </c>
      <c r="Z16" s="3" t="s">
        <v>51</v>
      </c>
    </row>
    <row r="17" spans="1:26" x14ac:dyDescent="0.25">
      <c r="A17" s="20" t="s">
        <v>162</v>
      </c>
      <c r="B17" s="3">
        <v>16</v>
      </c>
      <c r="C17" s="3" t="s">
        <v>62</v>
      </c>
      <c r="D17" s="3" t="s">
        <v>40</v>
      </c>
      <c r="E17" s="4">
        <v>44875</v>
      </c>
      <c r="F17" s="4">
        <v>44896</v>
      </c>
      <c r="G17" s="3" t="s">
        <v>163</v>
      </c>
      <c r="H17" s="3" t="s">
        <v>54</v>
      </c>
      <c r="I17" s="3"/>
      <c r="J17" s="5" t="s">
        <v>164</v>
      </c>
      <c r="K17" s="3" t="s">
        <v>44</v>
      </c>
      <c r="L17" s="5" t="s">
        <v>165</v>
      </c>
      <c r="M17" s="5" t="s">
        <v>166</v>
      </c>
      <c r="N17" s="3">
        <v>697939075</v>
      </c>
      <c r="O17" s="3" t="s">
        <v>69</v>
      </c>
      <c r="P17" s="3" t="s">
        <v>70</v>
      </c>
      <c r="Q17" s="3" t="s">
        <v>71</v>
      </c>
      <c r="R17" s="3" t="b">
        <v>0</v>
      </c>
      <c r="S17" s="5" t="s">
        <v>167</v>
      </c>
      <c r="T17" s="3" t="b">
        <v>1</v>
      </c>
      <c r="U17" s="30" t="b">
        <v>1</v>
      </c>
      <c r="V17" s="3" t="b">
        <v>1</v>
      </c>
      <c r="W17" s="3" t="b">
        <v>1</v>
      </c>
      <c r="X17" s="3" t="b">
        <v>1</v>
      </c>
      <c r="Y17" s="3" t="b">
        <v>0</v>
      </c>
      <c r="Z17" s="3" t="s">
        <v>51</v>
      </c>
    </row>
    <row r="18" spans="1:26" x14ac:dyDescent="0.25">
      <c r="A18" s="20" t="s">
        <v>168</v>
      </c>
      <c r="B18" s="3">
        <v>17</v>
      </c>
      <c r="C18" s="3" t="s">
        <v>39</v>
      </c>
      <c r="D18" s="3" t="s">
        <v>40</v>
      </c>
      <c r="E18" s="4">
        <v>44900</v>
      </c>
      <c r="F18" s="4">
        <v>44931</v>
      </c>
      <c r="G18" s="3" t="s">
        <v>169</v>
      </c>
      <c r="H18" s="3" t="s">
        <v>95</v>
      </c>
      <c r="I18" s="3"/>
      <c r="J18" s="5" t="s">
        <v>170</v>
      </c>
      <c r="K18" s="3" t="s">
        <v>44</v>
      </c>
      <c r="L18" s="5" t="s">
        <v>171</v>
      </c>
      <c r="M18" s="5" t="s">
        <v>172</v>
      </c>
      <c r="N18" s="3">
        <v>625295113</v>
      </c>
      <c r="O18" s="3" t="s">
        <v>99</v>
      </c>
      <c r="P18" s="3" t="s">
        <v>100</v>
      </c>
      <c r="Q18" s="3"/>
      <c r="R18" s="3" t="b">
        <v>0</v>
      </c>
      <c r="S18" s="5" t="s">
        <v>173</v>
      </c>
      <c r="T18" s="3" t="b">
        <v>1</v>
      </c>
      <c r="U18" s="3" t="b">
        <v>1</v>
      </c>
      <c r="V18" s="3" t="b">
        <v>1</v>
      </c>
      <c r="W18" s="3" t="b">
        <v>1</v>
      </c>
      <c r="X18" s="3" t="b">
        <v>1</v>
      </c>
      <c r="Y18" s="3" t="b">
        <v>1</v>
      </c>
      <c r="Z18" s="3" t="s">
        <v>40</v>
      </c>
    </row>
    <row r="19" spans="1:26" x14ac:dyDescent="0.25">
      <c r="A19" s="20" t="s">
        <v>174</v>
      </c>
      <c r="B19" s="3">
        <v>18</v>
      </c>
      <c r="C19" s="3" t="s">
        <v>39</v>
      </c>
      <c r="D19" s="3" t="s">
        <v>116</v>
      </c>
      <c r="E19" s="4">
        <v>44900</v>
      </c>
      <c r="F19" s="4">
        <v>44931</v>
      </c>
      <c r="G19" s="3" t="s">
        <v>175</v>
      </c>
      <c r="H19" s="3" t="s">
        <v>125</v>
      </c>
      <c r="I19" s="3"/>
      <c r="J19" s="5" t="s">
        <v>176</v>
      </c>
      <c r="K19" s="5" t="s">
        <v>177</v>
      </c>
      <c r="L19" s="5" t="s">
        <v>178</v>
      </c>
      <c r="M19" s="5" t="s">
        <v>179</v>
      </c>
      <c r="N19" s="3">
        <v>616149530</v>
      </c>
      <c r="O19" s="3" t="s">
        <v>99</v>
      </c>
      <c r="P19" s="3" t="s">
        <v>82</v>
      </c>
      <c r="Q19" s="3"/>
      <c r="R19" s="3" t="b">
        <v>0</v>
      </c>
      <c r="S19" s="5" t="s">
        <v>180</v>
      </c>
      <c r="T19" s="3" t="b">
        <v>1</v>
      </c>
      <c r="U19" s="3" t="b">
        <v>1</v>
      </c>
      <c r="V19" s="3" t="b">
        <v>1</v>
      </c>
      <c r="W19" s="3" t="b">
        <v>1</v>
      </c>
      <c r="X19" s="3" t="b">
        <v>1</v>
      </c>
      <c r="Y19" s="3" t="b">
        <v>1</v>
      </c>
      <c r="Z19" s="3" t="s">
        <v>73</v>
      </c>
    </row>
    <row r="20" spans="1:26" x14ac:dyDescent="0.25">
      <c r="A20" s="20" t="s">
        <v>181</v>
      </c>
      <c r="B20" s="3">
        <v>19</v>
      </c>
      <c r="C20" s="3" t="s">
        <v>39</v>
      </c>
      <c r="D20" s="3" t="s">
        <v>143</v>
      </c>
      <c r="E20" s="4">
        <v>44995</v>
      </c>
      <c r="F20" s="4">
        <v>45392</v>
      </c>
      <c r="G20" s="3" t="s">
        <v>182</v>
      </c>
      <c r="H20" s="3" t="s">
        <v>95</v>
      </c>
      <c r="I20" s="3"/>
      <c r="J20" s="5" t="s">
        <v>183</v>
      </c>
      <c r="K20" s="3" t="s">
        <v>44</v>
      </c>
      <c r="L20" s="5" t="s">
        <v>184</v>
      </c>
      <c r="M20" s="5" t="s">
        <v>185</v>
      </c>
      <c r="N20" s="3">
        <v>609230809</v>
      </c>
      <c r="O20" s="3" t="s">
        <v>99</v>
      </c>
      <c r="P20" s="3" t="s">
        <v>100</v>
      </c>
      <c r="Q20" s="3"/>
      <c r="R20" s="3" t="b">
        <v>0</v>
      </c>
      <c r="S20" s="5" t="s">
        <v>186</v>
      </c>
      <c r="T20" s="3" t="b">
        <v>1</v>
      </c>
      <c r="U20" s="3" t="b">
        <v>1</v>
      </c>
      <c r="V20" s="3" t="b">
        <v>1</v>
      </c>
      <c r="W20" s="3" t="b">
        <v>1</v>
      </c>
      <c r="X20" s="3" t="b">
        <v>1</v>
      </c>
      <c r="Y20" s="3" t="b">
        <v>1</v>
      </c>
      <c r="Z20" s="3" t="s">
        <v>143</v>
      </c>
    </row>
    <row r="21" spans="1:26" x14ac:dyDescent="0.25">
      <c r="A21" s="20" t="s">
        <v>187</v>
      </c>
      <c r="B21" s="3">
        <v>20</v>
      </c>
      <c r="C21" s="3" t="s">
        <v>39</v>
      </c>
      <c r="D21" s="3" t="s">
        <v>40</v>
      </c>
      <c r="E21" s="4">
        <v>44995</v>
      </c>
      <c r="F21" s="4">
        <v>45392</v>
      </c>
      <c r="G21" s="3" t="s">
        <v>188</v>
      </c>
      <c r="H21" s="3" t="s">
        <v>95</v>
      </c>
      <c r="I21" s="3"/>
      <c r="J21" s="5" t="s">
        <v>189</v>
      </c>
      <c r="K21" s="3" t="s">
        <v>44</v>
      </c>
      <c r="L21" s="5" t="s">
        <v>190</v>
      </c>
      <c r="M21" s="5" t="s">
        <v>191</v>
      </c>
      <c r="N21" s="3">
        <v>688890723</v>
      </c>
      <c r="O21" s="3" t="s">
        <v>69</v>
      </c>
      <c r="P21" s="3" t="s">
        <v>81</v>
      </c>
      <c r="Q21" s="3" t="s">
        <v>82</v>
      </c>
      <c r="R21" s="3" t="b">
        <v>0</v>
      </c>
      <c r="S21" s="5" t="s">
        <v>192</v>
      </c>
      <c r="T21" s="3" t="b">
        <v>1</v>
      </c>
      <c r="U21" s="3" t="b">
        <v>1</v>
      </c>
      <c r="V21" s="3" t="b">
        <v>1</v>
      </c>
      <c r="W21" s="3" t="b">
        <v>1</v>
      </c>
      <c r="X21" s="3" t="b">
        <v>1</v>
      </c>
      <c r="Y21" s="3" t="b">
        <v>1</v>
      </c>
      <c r="Z21" s="3" t="s">
        <v>73</v>
      </c>
    </row>
    <row r="22" spans="1:26" x14ac:dyDescent="0.25">
      <c r="A22" s="20" t="s">
        <v>193</v>
      </c>
      <c r="B22" s="3">
        <v>21</v>
      </c>
      <c r="C22" s="3" t="s">
        <v>39</v>
      </c>
      <c r="D22" s="3" t="s">
        <v>85</v>
      </c>
      <c r="E22" s="4">
        <v>45015</v>
      </c>
      <c r="F22" s="4">
        <v>45073</v>
      </c>
      <c r="G22" s="3" t="s">
        <v>194</v>
      </c>
      <c r="H22" s="3" t="s">
        <v>195</v>
      </c>
      <c r="I22" s="3"/>
      <c r="J22" s="5" t="s">
        <v>196</v>
      </c>
      <c r="K22" s="3" t="s">
        <v>44</v>
      </c>
      <c r="L22" s="5" t="s">
        <v>197</v>
      </c>
      <c r="M22" s="5" t="s">
        <v>198</v>
      </c>
      <c r="N22" s="3">
        <v>611440700</v>
      </c>
      <c r="O22" s="3" t="s">
        <v>99</v>
      </c>
      <c r="P22" s="3" t="s">
        <v>71</v>
      </c>
      <c r="Q22" s="3"/>
      <c r="R22" s="3" t="b">
        <v>0</v>
      </c>
      <c r="S22" s="5" t="s">
        <v>199</v>
      </c>
      <c r="T22" s="3" t="b">
        <v>1</v>
      </c>
      <c r="U22" s="30" t="b">
        <v>1</v>
      </c>
      <c r="V22" s="3" t="b">
        <v>1</v>
      </c>
      <c r="W22" s="3" t="b">
        <v>1</v>
      </c>
      <c r="X22" s="3" t="b">
        <v>1</v>
      </c>
      <c r="Y22" s="3" t="b">
        <v>0</v>
      </c>
      <c r="Z22" s="3" t="s">
        <v>51</v>
      </c>
    </row>
    <row r="23" spans="1:26" x14ac:dyDescent="0.25">
      <c r="A23" s="20" t="s">
        <v>200</v>
      </c>
      <c r="B23" s="3">
        <v>22</v>
      </c>
      <c r="C23" s="3" t="s">
        <v>62</v>
      </c>
      <c r="D23" s="3" t="s">
        <v>40</v>
      </c>
      <c r="E23" s="4">
        <v>45183</v>
      </c>
      <c r="F23" s="4">
        <v>45223</v>
      </c>
      <c r="G23" s="3" t="s">
        <v>201</v>
      </c>
      <c r="H23" s="3" t="s">
        <v>95</v>
      </c>
      <c r="I23" s="3"/>
      <c r="J23" s="5" t="s">
        <v>202</v>
      </c>
      <c r="K23" s="3" t="s">
        <v>44</v>
      </c>
      <c r="L23" s="5" t="s">
        <v>203</v>
      </c>
      <c r="M23" s="5" t="s">
        <v>204</v>
      </c>
      <c r="N23" s="3">
        <v>688631449</v>
      </c>
      <c r="O23" s="3" t="s">
        <v>99</v>
      </c>
      <c r="P23" s="3" t="s">
        <v>100</v>
      </c>
      <c r="Q23" s="3"/>
      <c r="R23" s="3" t="b">
        <v>0</v>
      </c>
      <c r="S23" s="5" t="s">
        <v>205</v>
      </c>
      <c r="T23" s="3" t="b">
        <v>1</v>
      </c>
      <c r="U23" s="3" t="b">
        <v>1</v>
      </c>
      <c r="V23" s="3" t="b">
        <v>1</v>
      </c>
      <c r="W23" s="3" t="b">
        <v>1</v>
      </c>
      <c r="X23" s="3" t="b">
        <v>1</v>
      </c>
      <c r="Y23" s="3" t="b">
        <v>1</v>
      </c>
      <c r="Z23" s="3" t="s">
        <v>40</v>
      </c>
    </row>
    <row r="24" spans="1:26" x14ac:dyDescent="0.25">
      <c r="A24" s="20" t="s">
        <v>206</v>
      </c>
      <c r="B24" s="3">
        <v>23</v>
      </c>
      <c r="C24" s="3" t="s">
        <v>39</v>
      </c>
      <c r="D24" s="3" t="s">
        <v>40</v>
      </c>
      <c r="E24" s="4">
        <v>45202</v>
      </c>
      <c r="F24" s="4">
        <v>45233</v>
      </c>
      <c r="G24" s="3" t="s">
        <v>207</v>
      </c>
      <c r="H24" s="3" t="s">
        <v>42</v>
      </c>
      <c r="I24" s="3"/>
      <c r="J24" s="5" t="s">
        <v>208</v>
      </c>
      <c r="K24" s="3" t="s">
        <v>44</v>
      </c>
      <c r="L24" s="5" t="s">
        <v>209</v>
      </c>
      <c r="M24" s="5" t="s">
        <v>210</v>
      </c>
      <c r="N24" s="3">
        <v>684219337</v>
      </c>
      <c r="O24" s="3" t="s">
        <v>99</v>
      </c>
      <c r="P24" s="3" t="s">
        <v>211</v>
      </c>
      <c r="Q24" s="3"/>
      <c r="R24" s="3" t="b">
        <v>0</v>
      </c>
      <c r="S24" s="5" t="s">
        <v>212</v>
      </c>
      <c r="T24" s="3" t="b">
        <v>1</v>
      </c>
      <c r="U24" s="3" t="b">
        <v>1</v>
      </c>
      <c r="V24" s="3" t="b">
        <v>1</v>
      </c>
      <c r="W24" s="3" t="b">
        <v>1</v>
      </c>
      <c r="X24" s="3" t="b">
        <v>0</v>
      </c>
      <c r="Y24" s="3" t="b">
        <v>1</v>
      </c>
      <c r="Z24" s="3" t="s">
        <v>40</v>
      </c>
    </row>
    <row r="25" spans="1:26" x14ac:dyDescent="0.25">
      <c r="A25" s="20" t="s">
        <v>213</v>
      </c>
      <c r="B25" s="3">
        <v>24</v>
      </c>
      <c r="C25" s="3" t="s">
        <v>39</v>
      </c>
      <c r="D25" s="3" t="s">
        <v>40</v>
      </c>
      <c r="E25" s="4">
        <v>45210</v>
      </c>
      <c r="F25" s="4">
        <v>45291</v>
      </c>
      <c r="G25" s="3" t="s">
        <v>214</v>
      </c>
      <c r="H25" s="3" t="s">
        <v>87</v>
      </c>
      <c r="I25" s="3"/>
      <c r="J25" s="5" t="s">
        <v>215</v>
      </c>
      <c r="K25" s="3" t="s">
        <v>44</v>
      </c>
      <c r="L25" s="5" t="s">
        <v>216</v>
      </c>
      <c r="M25" s="5" t="s">
        <v>217</v>
      </c>
      <c r="N25" s="3">
        <v>688849281</v>
      </c>
      <c r="O25" s="3" t="s">
        <v>99</v>
      </c>
      <c r="P25" s="3" t="s">
        <v>100</v>
      </c>
      <c r="Q25" s="3"/>
      <c r="R25" s="3" t="b">
        <v>0</v>
      </c>
      <c r="S25" s="5" t="s">
        <v>218</v>
      </c>
      <c r="T25" s="3" t="b">
        <v>1</v>
      </c>
      <c r="U25" s="3" t="b">
        <v>1</v>
      </c>
      <c r="V25" s="3" t="b">
        <v>1</v>
      </c>
      <c r="W25" s="3" t="b">
        <v>1</v>
      </c>
      <c r="X25" s="3" t="b">
        <v>1</v>
      </c>
      <c r="Y25" s="3" t="b">
        <v>0</v>
      </c>
      <c r="Z25" s="3" t="s">
        <v>51</v>
      </c>
    </row>
    <row r="26" spans="1:26" x14ac:dyDescent="0.25">
      <c r="A26" s="20" t="s">
        <v>219</v>
      </c>
      <c r="B26" s="3">
        <v>25</v>
      </c>
      <c r="C26" s="3" t="s">
        <v>62</v>
      </c>
      <c r="D26" s="3" t="s">
        <v>40</v>
      </c>
      <c r="E26" s="4">
        <v>45215</v>
      </c>
      <c r="F26" s="4">
        <v>45257</v>
      </c>
      <c r="G26" s="3" t="s">
        <v>220</v>
      </c>
      <c r="H26" s="3" t="s">
        <v>42</v>
      </c>
      <c r="I26" s="3"/>
      <c r="J26" s="5" t="s">
        <v>221</v>
      </c>
      <c r="K26" s="3" t="s">
        <v>44</v>
      </c>
      <c r="L26" s="5" t="s">
        <v>222</v>
      </c>
      <c r="M26" s="5" t="s">
        <v>223</v>
      </c>
      <c r="N26" s="3">
        <v>688639447</v>
      </c>
      <c r="O26" s="3" t="s">
        <v>99</v>
      </c>
      <c r="P26" s="3" t="s">
        <v>224</v>
      </c>
      <c r="Q26" s="3" t="s">
        <v>225</v>
      </c>
      <c r="R26" s="3" t="b">
        <v>0</v>
      </c>
      <c r="S26" s="5" t="s">
        <v>226</v>
      </c>
      <c r="T26" s="3" t="b">
        <v>1</v>
      </c>
      <c r="U26" s="3" t="b">
        <v>1</v>
      </c>
      <c r="V26" s="3" t="b">
        <v>1</v>
      </c>
      <c r="W26" s="3" t="b">
        <v>1</v>
      </c>
      <c r="X26" s="3" t="b">
        <v>0</v>
      </c>
      <c r="Y26" s="3" t="b">
        <v>1</v>
      </c>
      <c r="Z26" s="3" t="s">
        <v>51</v>
      </c>
    </row>
    <row r="27" spans="1:26" x14ac:dyDescent="0.25">
      <c r="A27" s="20" t="s">
        <v>227</v>
      </c>
      <c r="B27" s="3">
        <v>26</v>
      </c>
      <c r="C27" s="3" t="s">
        <v>62</v>
      </c>
      <c r="D27" s="3" t="s">
        <v>143</v>
      </c>
      <c r="E27" s="4">
        <v>45215</v>
      </c>
      <c r="F27" s="4">
        <v>45291</v>
      </c>
      <c r="G27" s="3" t="s">
        <v>228</v>
      </c>
      <c r="H27" s="3" t="s">
        <v>125</v>
      </c>
      <c r="I27" s="3"/>
      <c r="J27" s="5" t="s">
        <v>229</v>
      </c>
      <c r="K27" s="3" t="s">
        <v>44</v>
      </c>
      <c r="L27" s="5" t="s">
        <v>230</v>
      </c>
      <c r="M27" s="50" t="s">
        <v>231</v>
      </c>
      <c r="N27" s="3">
        <v>655576964</v>
      </c>
      <c r="O27" s="3" t="s">
        <v>99</v>
      </c>
      <c r="P27" s="3" t="s">
        <v>100</v>
      </c>
      <c r="Q27" s="3"/>
      <c r="R27" s="3" t="b">
        <v>0</v>
      </c>
      <c r="S27" s="5" t="s">
        <v>232</v>
      </c>
      <c r="T27" s="3" t="b">
        <v>1</v>
      </c>
      <c r="U27" s="3" t="b">
        <v>1</v>
      </c>
      <c r="V27" s="3" t="b">
        <v>1</v>
      </c>
      <c r="W27" s="3" t="b">
        <v>1</v>
      </c>
      <c r="X27" s="3" t="b">
        <v>1</v>
      </c>
      <c r="Y27" s="3" t="b">
        <v>1</v>
      </c>
      <c r="Z27" s="3" t="s">
        <v>40</v>
      </c>
    </row>
    <row r="28" spans="1:26" x14ac:dyDescent="0.25">
      <c r="A28" s="20" t="s">
        <v>233</v>
      </c>
      <c r="B28" s="3">
        <v>27</v>
      </c>
      <c r="C28" s="3" t="s">
        <v>39</v>
      </c>
      <c r="D28" s="3" t="s">
        <v>85</v>
      </c>
      <c r="E28" s="4">
        <v>45215</v>
      </c>
      <c r="F28" s="4">
        <v>45258</v>
      </c>
      <c r="G28" s="3" t="s">
        <v>234</v>
      </c>
      <c r="H28" s="3" t="s">
        <v>125</v>
      </c>
      <c r="I28" s="3"/>
      <c r="J28" s="5" t="s">
        <v>235</v>
      </c>
      <c r="K28" s="3" t="s">
        <v>44</v>
      </c>
      <c r="L28" s="5" t="s">
        <v>236</v>
      </c>
      <c r="M28" s="5" t="s">
        <v>237</v>
      </c>
      <c r="N28" s="3">
        <v>628012584</v>
      </c>
      <c r="O28" s="3" t="s">
        <v>99</v>
      </c>
      <c r="P28" s="3" t="s">
        <v>82</v>
      </c>
      <c r="Q28" s="3"/>
      <c r="R28" s="3" t="b">
        <v>0</v>
      </c>
      <c r="S28" s="3" t="s">
        <v>238</v>
      </c>
      <c r="T28" s="3" t="b">
        <v>1</v>
      </c>
      <c r="U28" s="3" t="b">
        <v>1</v>
      </c>
      <c r="V28" s="3" t="b">
        <v>1</v>
      </c>
      <c r="W28" s="3" t="b">
        <v>1</v>
      </c>
      <c r="X28" s="3" t="b">
        <v>1</v>
      </c>
      <c r="Y28" s="3" t="b">
        <v>0</v>
      </c>
      <c r="Z28" s="3" t="s">
        <v>51</v>
      </c>
    </row>
    <row r="29" spans="1:26" x14ac:dyDescent="0.25">
      <c r="A29" s="20" t="s">
        <v>239</v>
      </c>
      <c r="B29" s="3">
        <v>29</v>
      </c>
      <c r="C29" s="3" t="s">
        <v>62</v>
      </c>
      <c r="D29" s="3" t="s">
        <v>143</v>
      </c>
      <c r="E29" s="4">
        <v>45215</v>
      </c>
      <c r="F29" s="4">
        <v>45301</v>
      </c>
      <c r="G29" s="3" t="s">
        <v>240</v>
      </c>
      <c r="H29" s="3" t="s">
        <v>77</v>
      </c>
      <c r="I29" s="3"/>
      <c r="J29" s="5" t="s">
        <v>241</v>
      </c>
      <c r="K29" s="3" t="s">
        <v>44</v>
      </c>
      <c r="L29" s="5" t="s">
        <v>242</v>
      </c>
      <c r="M29" s="5" t="s">
        <v>243</v>
      </c>
      <c r="N29" s="3">
        <v>634271868</v>
      </c>
      <c r="O29" s="3" t="s">
        <v>99</v>
      </c>
      <c r="P29" s="3" t="s">
        <v>225</v>
      </c>
      <c r="Q29" s="3"/>
      <c r="R29" s="3" t="b">
        <v>0</v>
      </c>
      <c r="S29" s="5" t="s">
        <v>244</v>
      </c>
      <c r="T29" s="3" t="b">
        <v>1</v>
      </c>
      <c r="U29" s="3" t="b">
        <v>1</v>
      </c>
      <c r="V29" s="3" t="b">
        <v>1</v>
      </c>
      <c r="W29" s="3" t="b">
        <v>1</v>
      </c>
      <c r="X29" s="3" t="b">
        <v>1</v>
      </c>
      <c r="Y29" s="3" t="b">
        <v>1</v>
      </c>
      <c r="Z29" s="3" t="s">
        <v>51</v>
      </c>
    </row>
    <row r="30" spans="1:26" x14ac:dyDescent="0.25">
      <c r="A30" s="20" t="s">
        <v>245</v>
      </c>
      <c r="B30" s="3">
        <v>30</v>
      </c>
      <c r="C30" s="3" t="s">
        <v>62</v>
      </c>
      <c r="D30" s="3" t="s">
        <v>116</v>
      </c>
      <c r="E30" s="4">
        <v>45215</v>
      </c>
      <c r="F30" s="4">
        <v>45301</v>
      </c>
      <c r="G30" s="3" t="s">
        <v>246</v>
      </c>
      <c r="H30" s="3" t="s">
        <v>77</v>
      </c>
      <c r="I30" s="3"/>
      <c r="J30" s="5" t="s">
        <v>247</v>
      </c>
      <c r="K30" s="3" t="s">
        <v>44</v>
      </c>
      <c r="L30" s="5" t="s">
        <v>248</v>
      </c>
      <c r="M30" s="5" t="s">
        <v>249</v>
      </c>
      <c r="N30" s="3">
        <v>692934230</v>
      </c>
      <c r="O30" s="3" t="s">
        <v>99</v>
      </c>
      <c r="P30" s="3" t="s">
        <v>100</v>
      </c>
      <c r="Q30" s="3"/>
      <c r="R30" s="3" t="b">
        <v>0</v>
      </c>
      <c r="S30" s="5" t="s">
        <v>250</v>
      </c>
      <c r="T30" s="3" t="b">
        <v>1</v>
      </c>
      <c r="U30" s="3" t="b">
        <v>1</v>
      </c>
      <c r="V30" s="3" t="b">
        <v>1</v>
      </c>
      <c r="W30" s="3" t="b">
        <v>1</v>
      </c>
      <c r="X30" s="3" t="b">
        <v>1</v>
      </c>
      <c r="Y30" s="3" t="b">
        <v>1</v>
      </c>
      <c r="Z30" s="3" t="s">
        <v>40</v>
      </c>
    </row>
    <row r="31" spans="1:26" x14ac:dyDescent="0.25">
      <c r="A31" s="21" t="s">
        <v>251</v>
      </c>
      <c r="B31" s="3">
        <v>31</v>
      </c>
      <c r="C31" s="14" t="s">
        <v>62</v>
      </c>
      <c r="D31" s="14" t="s">
        <v>40</v>
      </c>
      <c r="E31" s="15">
        <v>45223</v>
      </c>
      <c r="F31" s="15">
        <v>45322</v>
      </c>
      <c r="G31" s="14" t="s">
        <v>252</v>
      </c>
      <c r="H31" s="14" t="s">
        <v>151</v>
      </c>
      <c r="I31" s="3"/>
      <c r="J31" s="14"/>
      <c r="K31" s="14" t="s">
        <v>44</v>
      </c>
      <c r="L31" s="73" t="s">
        <v>253</v>
      </c>
      <c r="M31" s="5" t="s">
        <v>254</v>
      </c>
      <c r="N31" s="14"/>
      <c r="O31" s="14" t="s">
        <v>99</v>
      </c>
      <c r="P31" s="14"/>
      <c r="Q31" s="3"/>
      <c r="R31" s="3" t="b">
        <v>0</v>
      </c>
      <c r="S31" s="22" t="s">
        <v>255</v>
      </c>
      <c r="T31" s="3" t="b">
        <v>1</v>
      </c>
      <c r="U31" s="3" t="b">
        <v>1</v>
      </c>
      <c r="V31" s="3" t="b">
        <v>1</v>
      </c>
      <c r="W31" s="3" t="b">
        <v>1</v>
      </c>
      <c r="X31" s="3" t="b">
        <v>0</v>
      </c>
      <c r="Y31" s="3" t="b">
        <v>0</v>
      </c>
      <c r="Z31" s="3" t="s">
        <v>51</v>
      </c>
    </row>
    <row r="32" spans="1:26" x14ac:dyDescent="0.25">
      <c r="A32" s="20" t="s">
        <v>256</v>
      </c>
      <c r="B32" s="3">
        <v>32</v>
      </c>
      <c r="C32" s="3" t="s">
        <v>39</v>
      </c>
      <c r="D32" s="3" t="s">
        <v>85</v>
      </c>
      <c r="E32" s="4">
        <v>45394</v>
      </c>
      <c r="F32" s="4">
        <v>45490</v>
      </c>
      <c r="G32" s="3">
        <v>118473446</v>
      </c>
      <c r="H32" s="3" t="s">
        <v>42</v>
      </c>
      <c r="I32" s="3"/>
      <c r="J32" s="5" t="s">
        <v>257</v>
      </c>
      <c r="K32" s="3" t="s">
        <v>44</v>
      </c>
      <c r="L32" s="5" t="s">
        <v>258</v>
      </c>
      <c r="M32" s="5" t="s">
        <v>259</v>
      </c>
      <c r="N32" s="3">
        <v>632160879</v>
      </c>
      <c r="O32" s="3" t="s">
        <v>99</v>
      </c>
      <c r="P32" s="3" t="s">
        <v>260</v>
      </c>
      <c r="Q32" s="3"/>
      <c r="R32" s="3" t="b">
        <v>0</v>
      </c>
      <c r="S32" s="5" t="s">
        <v>261</v>
      </c>
      <c r="T32" s="3" t="b">
        <v>1</v>
      </c>
      <c r="U32" s="3" t="b">
        <v>1</v>
      </c>
      <c r="V32" s="3"/>
      <c r="W32" s="3" t="b">
        <v>1</v>
      </c>
      <c r="X32" s="3" t="b">
        <v>0</v>
      </c>
      <c r="Y32" s="3" t="b">
        <v>1</v>
      </c>
      <c r="Z32" s="3" t="s">
        <v>262</v>
      </c>
    </row>
    <row r="33" spans="1:26" x14ac:dyDescent="0.25">
      <c r="A33" s="21" t="s">
        <v>263</v>
      </c>
      <c r="B33" s="3">
        <v>33</v>
      </c>
      <c r="C33" s="14" t="s">
        <v>39</v>
      </c>
      <c r="D33" s="14" t="s">
        <v>40</v>
      </c>
      <c r="E33" s="15">
        <v>45399</v>
      </c>
      <c r="F33" s="15">
        <v>45582</v>
      </c>
      <c r="G33" s="14" t="s">
        <v>264</v>
      </c>
      <c r="H33" s="14" t="s">
        <v>42</v>
      </c>
      <c r="I33" s="3"/>
      <c r="J33" s="16" t="s">
        <v>265</v>
      </c>
      <c r="K33" s="3" t="s">
        <v>44</v>
      </c>
      <c r="L33" s="16" t="s">
        <v>266</v>
      </c>
      <c r="M33" s="5" t="s">
        <v>267</v>
      </c>
      <c r="N33" s="14">
        <v>671303317</v>
      </c>
      <c r="O33" s="14" t="s">
        <v>99</v>
      </c>
      <c r="P33" s="14" t="s">
        <v>260</v>
      </c>
      <c r="Q33" s="3"/>
      <c r="R33" s="3"/>
      <c r="S33" s="5" t="s">
        <v>268</v>
      </c>
      <c r="T33" s="3" t="b">
        <v>1</v>
      </c>
      <c r="U33" s="3" t="b">
        <v>1</v>
      </c>
      <c r="V33" s="3" t="b">
        <v>1</v>
      </c>
      <c r="W33" s="3" t="b">
        <v>1</v>
      </c>
      <c r="X33" s="3"/>
      <c r="Y33" s="3" t="b">
        <v>1</v>
      </c>
      <c r="Z33" s="3" t="s">
        <v>262</v>
      </c>
    </row>
    <row r="34" spans="1:26" x14ac:dyDescent="0.25">
      <c r="A34" s="20" t="s">
        <v>269</v>
      </c>
      <c r="B34" s="3">
        <v>34</v>
      </c>
      <c r="C34" s="3" t="s">
        <v>39</v>
      </c>
      <c r="D34" s="3" t="s">
        <v>143</v>
      </c>
      <c r="E34" s="4">
        <v>45475</v>
      </c>
      <c r="F34" s="4">
        <v>45545</v>
      </c>
      <c r="G34" s="3" t="s">
        <v>270</v>
      </c>
      <c r="H34" s="3" t="s">
        <v>87</v>
      </c>
      <c r="I34" s="3"/>
      <c r="J34" s="5" t="s">
        <v>271</v>
      </c>
      <c r="K34" s="3" t="s">
        <v>44</v>
      </c>
      <c r="L34" s="5" t="s">
        <v>272</v>
      </c>
      <c r="M34" s="76" t="s">
        <v>273</v>
      </c>
      <c r="N34" s="3">
        <v>618539541</v>
      </c>
      <c r="O34" s="3" t="s">
        <v>69</v>
      </c>
      <c r="P34" s="3" t="s">
        <v>107</v>
      </c>
      <c r="Q34" s="18"/>
      <c r="R34" s="3" t="b">
        <v>0</v>
      </c>
      <c r="S34" s="5" t="s">
        <v>274</v>
      </c>
      <c r="T34" s="3" t="b">
        <v>1</v>
      </c>
      <c r="U34" s="3" t="b">
        <v>1</v>
      </c>
      <c r="V34" s="3" t="b">
        <v>1</v>
      </c>
      <c r="W34" s="3" t="b">
        <v>1</v>
      </c>
      <c r="X34" s="3" t="b">
        <v>0</v>
      </c>
      <c r="Y34" s="3" t="b">
        <v>0</v>
      </c>
      <c r="Z34" s="3" t="s">
        <v>143</v>
      </c>
    </row>
    <row r="35" spans="1:26" x14ac:dyDescent="0.25">
      <c r="A35" s="20" t="s">
        <v>275</v>
      </c>
      <c r="B35" s="3">
        <v>35</v>
      </c>
      <c r="C35" s="3" t="s">
        <v>39</v>
      </c>
      <c r="D35" s="3" t="s">
        <v>85</v>
      </c>
      <c r="E35" s="4">
        <v>45475</v>
      </c>
      <c r="F35" s="4">
        <v>45545</v>
      </c>
      <c r="G35" s="3" t="s">
        <v>276</v>
      </c>
      <c r="H35" s="3" t="s">
        <v>87</v>
      </c>
      <c r="I35" s="3"/>
      <c r="J35" s="5" t="s">
        <v>277</v>
      </c>
      <c r="K35" s="3" t="s">
        <v>44</v>
      </c>
      <c r="L35" s="5" t="s">
        <v>278</v>
      </c>
      <c r="M35" s="5" t="s">
        <v>279</v>
      </c>
      <c r="N35" s="3">
        <v>634823511</v>
      </c>
      <c r="O35" s="3" t="s">
        <v>69</v>
      </c>
      <c r="P35" s="3" t="s">
        <v>81</v>
      </c>
      <c r="Q35" s="3" t="s">
        <v>280</v>
      </c>
      <c r="R35" s="3" t="b">
        <v>0</v>
      </c>
      <c r="S35" s="5" t="s">
        <v>281</v>
      </c>
      <c r="T35" s="3" t="b">
        <v>1</v>
      </c>
      <c r="U35" s="3" t="b">
        <v>1</v>
      </c>
      <c r="V35" s="3" t="b">
        <v>1</v>
      </c>
      <c r="W35" s="3" t="b">
        <v>1</v>
      </c>
      <c r="X35" s="3" t="b">
        <v>0</v>
      </c>
      <c r="Y35" s="3" t="b">
        <v>0</v>
      </c>
      <c r="Z35" s="3" t="s">
        <v>51</v>
      </c>
    </row>
    <row r="36" spans="1:26" x14ac:dyDescent="0.25">
      <c r="A36" s="20" t="s">
        <v>282</v>
      </c>
      <c r="B36" s="3">
        <v>36</v>
      </c>
      <c r="C36" s="3" t="s">
        <v>39</v>
      </c>
      <c r="D36" s="3" t="s">
        <v>143</v>
      </c>
      <c r="E36" s="4">
        <v>45596</v>
      </c>
      <c r="F36" s="4">
        <v>45631</v>
      </c>
      <c r="G36" s="29" t="s">
        <v>283</v>
      </c>
      <c r="H36" s="3" t="s">
        <v>195</v>
      </c>
      <c r="I36" s="3"/>
      <c r="J36" s="5" t="s">
        <v>284</v>
      </c>
      <c r="K36" s="3" t="s">
        <v>44</v>
      </c>
      <c r="L36" s="5" t="s">
        <v>285</v>
      </c>
      <c r="M36" s="5" t="s">
        <v>286</v>
      </c>
      <c r="N36" s="3">
        <v>644307237</v>
      </c>
      <c r="O36" s="3" t="s">
        <v>99</v>
      </c>
      <c r="P36" s="3" t="s">
        <v>211</v>
      </c>
      <c r="Q36" s="3"/>
      <c r="R36" s="3" t="b">
        <v>0</v>
      </c>
      <c r="S36" s="3" t="s">
        <v>287</v>
      </c>
      <c r="T36" s="3" t="b">
        <v>1</v>
      </c>
      <c r="U36" s="3" t="b">
        <v>1</v>
      </c>
      <c r="V36" s="3" t="b">
        <v>0</v>
      </c>
      <c r="W36" s="3" t="b">
        <v>1</v>
      </c>
      <c r="X36" s="3" t="b">
        <v>0</v>
      </c>
      <c r="Y36" s="3" t="b">
        <v>0</v>
      </c>
      <c r="Z36" s="3" t="s">
        <v>51</v>
      </c>
    </row>
    <row r="37" spans="1:26" x14ac:dyDescent="0.25">
      <c r="A37" s="20" t="s">
        <v>288</v>
      </c>
      <c r="B37" s="3">
        <v>37</v>
      </c>
      <c r="C37" s="3" t="s">
        <v>39</v>
      </c>
      <c r="D37" s="3" t="s">
        <v>85</v>
      </c>
      <c r="E37" s="4">
        <v>45596</v>
      </c>
      <c r="F37" s="4">
        <v>45631</v>
      </c>
      <c r="G37" s="3" t="s">
        <v>289</v>
      </c>
      <c r="H37" s="3" t="s">
        <v>54</v>
      </c>
      <c r="I37" s="3"/>
      <c r="J37" s="5" t="s">
        <v>290</v>
      </c>
      <c r="K37" s="3" t="s">
        <v>44</v>
      </c>
      <c r="L37" s="5" t="s">
        <v>291</v>
      </c>
      <c r="M37" s="5" t="s">
        <v>292</v>
      </c>
      <c r="N37" s="3">
        <v>644731243</v>
      </c>
      <c r="O37" s="3" t="s">
        <v>99</v>
      </c>
      <c r="P37" s="3" t="s">
        <v>260</v>
      </c>
      <c r="Q37" s="3"/>
      <c r="R37" s="3" t="b">
        <v>0</v>
      </c>
      <c r="S37" s="3" t="s">
        <v>293</v>
      </c>
      <c r="T37" s="3" t="b">
        <v>1</v>
      </c>
      <c r="U37" s="3" t="b">
        <v>1</v>
      </c>
      <c r="V37" s="3" t="b">
        <v>1</v>
      </c>
      <c r="W37" s="3" t="b">
        <v>1</v>
      </c>
      <c r="X37" s="3" t="b">
        <v>0</v>
      </c>
      <c r="Y37" s="3" t="b">
        <v>0</v>
      </c>
      <c r="Z37" s="3" t="s">
        <v>51</v>
      </c>
    </row>
    <row r="38" spans="1:26" x14ac:dyDescent="0.25">
      <c r="A38" s="20" t="s">
        <v>294</v>
      </c>
      <c r="B38" s="3">
        <v>38</v>
      </c>
      <c r="C38" s="3" t="s">
        <v>39</v>
      </c>
      <c r="D38" s="3" t="s">
        <v>143</v>
      </c>
      <c r="E38" s="4">
        <v>45596</v>
      </c>
      <c r="F38" s="4">
        <v>45631</v>
      </c>
      <c r="G38" s="29" t="s">
        <v>295</v>
      </c>
      <c r="H38" s="3" t="s">
        <v>54</v>
      </c>
      <c r="I38" s="3"/>
      <c r="J38" s="5" t="s">
        <v>296</v>
      </c>
      <c r="K38" s="3" t="s">
        <v>44</v>
      </c>
      <c r="L38" s="5" t="s">
        <v>297</v>
      </c>
      <c r="M38" s="5" t="s">
        <v>298</v>
      </c>
      <c r="N38" s="3">
        <v>634435114</v>
      </c>
      <c r="O38" s="3" t="s">
        <v>99</v>
      </c>
      <c r="P38" s="3" t="s">
        <v>82</v>
      </c>
      <c r="Q38" s="3"/>
      <c r="R38" s="3" t="b">
        <v>0</v>
      </c>
      <c r="S38" s="3" t="s">
        <v>299</v>
      </c>
      <c r="T38" s="3" t="b">
        <v>1</v>
      </c>
      <c r="U38" s="3" t="b">
        <v>1</v>
      </c>
      <c r="V38" s="3" t="b">
        <v>1</v>
      </c>
      <c r="W38" s="3" t="b">
        <v>1</v>
      </c>
      <c r="X38" s="3" t="b">
        <v>0</v>
      </c>
      <c r="Y38" s="3" t="b">
        <v>0</v>
      </c>
      <c r="Z38" s="3" t="s">
        <v>51</v>
      </c>
    </row>
    <row r="39" spans="1:26" x14ac:dyDescent="0.25">
      <c r="A39" s="20" t="s">
        <v>300</v>
      </c>
      <c r="B39" s="3">
        <v>39</v>
      </c>
      <c r="C39" s="3" t="s">
        <v>39</v>
      </c>
      <c r="D39" s="3" t="s">
        <v>40</v>
      </c>
      <c r="E39" s="4">
        <v>45596</v>
      </c>
      <c r="F39" s="4">
        <v>45631</v>
      </c>
      <c r="G39" s="3" t="s">
        <v>301</v>
      </c>
      <c r="H39" s="3" t="s">
        <v>42</v>
      </c>
      <c r="I39" s="3"/>
      <c r="J39" s="5" t="s">
        <v>302</v>
      </c>
      <c r="K39" s="3" t="s">
        <v>44</v>
      </c>
      <c r="L39" s="5" t="s">
        <v>303</v>
      </c>
      <c r="M39" s="5" t="s">
        <v>304</v>
      </c>
      <c r="N39" s="3">
        <v>634448354</v>
      </c>
      <c r="O39" s="3" t="s">
        <v>99</v>
      </c>
      <c r="P39" s="3" t="s">
        <v>224</v>
      </c>
      <c r="Q39" s="3"/>
      <c r="R39" s="3"/>
      <c r="S39" s="5" t="s">
        <v>305</v>
      </c>
      <c r="T39" s="3" t="b">
        <v>1</v>
      </c>
      <c r="U39" s="3" t="b">
        <v>1</v>
      </c>
      <c r="V39" s="3" t="b">
        <v>1</v>
      </c>
      <c r="W39" s="3" t="b">
        <v>1</v>
      </c>
      <c r="X39" s="3"/>
      <c r="Y39" s="3" t="b">
        <v>1</v>
      </c>
      <c r="Z39" s="3" t="s">
        <v>262</v>
      </c>
    </row>
    <row r="40" spans="1:26" x14ac:dyDescent="0.25">
      <c r="A40" s="20" t="s">
        <v>306</v>
      </c>
      <c r="B40" s="3">
        <v>40</v>
      </c>
      <c r="C40" s="3" t="s">
        <v>39</v>
      </c>
      <c r="D40" s="3" t="s">
        <v>85</v>
      </c>
      <c r="E40" s="4">
        <v>45596</v>
      </c>
      <c r="F40" s="4">
        <v>45631</v>
      </c>
      <c r="G40" s="3" t="s">
        <v>307</v>
      </c>
      <c r="H40" s="3" t="s">
        <v>42</v>
      </c>
      <c r="I40" s="3"/>
      <c r="J40" s="5" t="s">
        <v>308</v>
      </c>
      <c r="K40" s="3" t="s">
        <v>44</v>
      </c>
      <c r="L40" s="5" t="s">
        <v>309</v>
      </c>
      <c r="M40" s="5" t="s">
        <v>310</v>
      </c>
      <c r="N40" s="3">
        <v>644836422</v>
      </c>
      <c r="O40" s="3" t="s">
        <v>99</v>
      </c>
      <c r="P40" s="3" t="s">
        <v>260</v>
      </c>
      <c r="Q40" s="3"/>
      <c r="R40" s="3"/>
      <c r="S40" s="3" t="s">
        <v>311</v>
      </c>
      <c r="T40" s="3" t="b">
        <v>1</v>
      </c>
      <c r="U40" s="3" t="b">
        <v>1</v>
      </c>
      <c r="V40" s="3"/>
      <c r="W40" s="3" t="b">
        <v>1</v>
      </c>
      <c r="X40" s="3"/>
      <c r="Y40" s="3"/>
      <c r="Z40" s="3" t="s">
        <v>262</v>
      </c>
    </row>
    <row r="41" spans="1:26" x14ac:dyDescent="0.25">
      <c r="A41" s="20" t="s">
        <v>312</v>
      </c>
      <c r="B41" s="3">
        <v>41</v>
      </c>
      <c r="C41" s="3" t="s">
        <v>62</v>
      </c>
      <c r="D41" s="3" t="s">
        <v>85</v>
      </c>
      <c r="E41" s="4">
        <v>45596</v>
      </c>
      <c r="F41" s="4">
        <v>45631</v>
      </c>
      <c r="G41" s="1" t="s">
        <v>313</v>
      </c>
      <c r="H41" s="3" t="s">
        <v>95</v>
      </c>
      <c r="I41" s="3"/>
      <c r="J41" s="5" t="s">
        <v>314</v>
      </c>
      <c r="K41" s="3" t="s">
        <v>44</v>
      </c>
      <c r="L41" s="5" t="s">
        <v>315</v>
      </c>
      <c r="M41" s="5" t="s">
        <v>316</v>
      </c>
      <c r="N41" s="3">
        <v>635765819</v>
      </c>
      <c r="O41" s="3" t="s">
        <v>99</v>
      </c>
      <c r="P41" s="3" t="s">
        <v>225</v>
      </c>
      <c r="Q41" s="3"/>
      <c r="R41" s="3" t="b">
        <v>0</v>
      </c>
      <c r="S41" s="3" t="s">
        <v>317</v>
      </c>
      <c r="T41" s="3" t="b">
        <v>1</v>
      </c>
      <c r="U41" s="3" t="b">
        <v>1</v>
      </c>
      <c r="V41" s="3" t="b">
        <v>1</v>
      </c>
      <c r="W41" s="3" t="b">
        <v>1</v>
      </c>
      <c r="X41" s="3" t="b">
        <v>0</v>
      </c>
      <c r="Y41" s="3" t="b">
        <v>0</v>
      </c>
      <c r="Z41" s="3" t="s">
        <v>51</v>
      </c>
    </row>
    <row r="42" spans="1:26" x14ac:dyDescent="0.25">
      <c r="A42" s="20" t="s">
        <v>318</v>
      </c>
      <c r="B42" s="3">
        <v>42</v>
      </c>
      <c r="C42" s="3" t="s">
        <v>39</v>
      </c>
      <c r="D42" s="3" t="s">
        <v>85</v>
      </c>
      <c r="E42" s="4">
        <v>45596</v>
      </c>
      <c r="F42" s="4">
        <v>45631</v>
      </c>
      <c r="G42" s="3" t="s">
        <v>319</v>
      </c>
      <c r="H42" s="3" t="s">
        <v>95</v>
      </c>
      <c r="I42" s="3"/>
      <c r="J42" s="5" t="s">
        <v>320</v>
      </c>
      <c r="K42" s="3" t="s">
        <v>44</v>
      </c>
      <c r="L42" s="5" t="s">
        <v>321</v>
      </c>
      <c r="M42" s="5" t="s">
        <v>322</v>
      </c>
      <c r="N42" s="3">
        <v>688889016</v>
      </c>
      <c r="O42" s="3" t="s">
        <v>99</v>
      </c>
      <c r="P42" s="3" t="s">
        <v>323</v>
      </c>
      <c r="Q42" s="3"/>
      <c r="R42" s="3" t="b">
        <v>0</v>
      </c>
      <c r="S42" s="5" t="s">
        <v>324</v>
      </c>
      <c r="T42" s="3" t="b">
        <v>1</v>
      </c>
      <c r="U42" s="3" t="b">
        <v>1</v>
      </c>
      <c r="V42" s="3" t="b">
        <v>1</v>
      </c>
      <c r="W42" s="3" t="b">
        <v>1</v>
      </c>
      <c r="X42" s="3" t="b">
        <v>0</v>
      </c>
      <c r="Y42" s="3" t="b">
        <v>0</v>
      </c>
      <c r="Z42" s="3" t="s">
        <v>51</v>
      </c>
    </row>
    <row r="43" spans="1:26" x14ac:dyDescent="0.25">
      <c r="A43" s="20" t="s">
        <v>325</v>
      </c>
      <c r="B43" s="3">
        <v>43</v>
      </c>
      <c r="C43" s="3" t="s">
        <v>62</v>
      </c>
      <c r="D43" s="3" t="s">
        <v>85</v>
      </c>
      <c r="E43" s="4">
        <v>45596</v>
      </c>
      <c r="F43" s="4">
        <v>45631</v>
      </c>
      <c r="G43" s="3" t="s">
        <v>326</v>
      </c>
      <c r="H43" s="3" t="s">
        <v>195</v>
      </c>
      <c r="I43" s="3" t="s">
        <v>125</v>
      </c>
      <c r="J43" s="3"/>
      <c r="K43" s="3" t="s">
        <v>44</v>
      </c>
      <c r="L43" s="5" t="s">
        <v>327</v>
      </c>
      <c r="M43" s="5" t="s">
        <v>328</v>
      </c>
      <c r="N43" s="3">
        <v>617868066</v>
      </c>
      <c r="O43" s="3" t="s">
        <v>69</v>
      </c>
      <c r="P43" s="3" t="s">
        <v>329</v>
      </c>
      <c r="Q43" s="3" t="s">
        <v>100</v>
      </c>
      <c r="R43" s="3" t="b">
        <v>0</v>
      </c>
      <c r="S43" s="5" t="s">
        <v>330</v>
      </c>
      <c r="T43" s="3" t="b">
        <v>1</v>
      </c>
      <c r="U43" s="3" t="b">
        <v>1</v>
      </c>
      <c r="V43" s="3" t="b">
        <v>0</v>
      </c>
      <c r="W43" s="3" t="b">
        <v>1</v>
      </c>
      <c r="X43" s="3" t="b">
        <v>0</v>
      </c>
      <c r="Y43" s="3" t="b">
        <v>0</v>
      </c>
      <c r="Z43" s="3" t="s">
        <v>51</v>
      </c>
    </row>
    <row r="44" spans="1:26" x14ac:dyDescent="0.25">
      <c r="A44" s="21" t="s">
        <v>331</v>
      </c>
      <c r="B44" s="3">
        <v>44</v>
      </c>
      <c r="C44" s="14" t="s">
        <v>62</v>
      </c>
      <c r="D44" s="14" t="s">
        <v>85</v>
      </c>
      <c r="E44" s="15">
        <v>45596</v>
      </c>
      <c r="F44" s="15">
        <v>45631</v>
      </c>
      <c r="G44" s="53" t="s">
        <v>332</v>
      </c>
      <c r="H44" s="14" t="s">
        <v>95</v>
      </c>
      <c r="I44" s="3"/>
      <c r="J44" s="16" t="s">
        <v>333</v>
      </c>
      <c r="K44" s="14" t="s">
        <v>44</v>
      </c>
      <c r="L44" s="16" t="s">
        <v>334</v>
      </c>
      <c r="M44" s="5" t="s">
        <v>335</v>
      </c>
      <c r="N44" s="14">
        <v>646566384</v>
      </c>
      <c r="O44" s="14" t="s">
        <v>99</v>
      </c>
      <c r="P44" s="14" t="s">
        <v>225</v>
      </c>
      <c r="Q44" s="3"/>
      <c r="R44" s="3" t="b">
        <v>0</v>
      </c>
      <c r="S44" s="3" t="s">
        <v>336</v>
      </c>
      <c r="T44" s="3" t="b">
        <v>1</v>
      </c>
      <c r="U44" s="3" t="b">
        <v>1</v>
      </c>
      <c r="V44" s="3" t="b">
        <v>1</v>
      </c>
      <c r="W44" s="3" t="b">
        <v>1</v>
      </c>
      <c r="X44" s="3" t="b">
        <v>0</v>
      </c>
      <c r="Y44" s="3" t="b">
        <v>0</v>
      </c>
      <c r="Z44" s="3" t="s">
        <v>51</v>
      </c>
    </row>
    <row r="45" spans="1:26" x14ac:dyDescent="0.25">
      <c r="A45" s="20" t="s">
        <v>337</v>
      </c>
      <c r="B45" s="3">
        <v>45</v>
      </c>
      <c r="C45" s="3" t="s">
        <v>39</v>
      </c>
      <c r="D45" s="3" t="s">
        <v>40</v>
      </c>
      <c r="E45" s="4">
        <v>45596</v>
      </c>
      <c r="F45" s="4">
        <v>45631</v>
      </c>
      <c r="G45" s="3" t="s">
        <v>338</v>
      </c>
      <c r="H45" s="3" t="s">
        <v>42</v>
      </c>
      <c r="I45" s="3"/>
      <c r="J45" s="5" t="s">
        <v>339</v>
      </c>
      <c r="K45" s="3" t="s">
        <v>44</v>
      </c>
      <c r="L45" s="5" t="s">
        <v>340</v>
      </c>
      <c r="M45" s="5" t="s">
        <v>341</v>
      </c>
      <c r="N45" s="3">
        <v>681034984</v>
      </c>
      <c r="O45" s="3" t="s">
        <v>99</v>
      </c>
      <c r="P45" s="3" t="s">
        <v>211</v>
      </c>
      <c r="Q45" s="18"/>
      <c r="R45" s="3"/>
      <c r="S45" s="3" t="s">
        <v>342</v>
      </c>
      <c r="T45" s="3" t="b">
        <v>1</v>
      </c>
      <c r="U45" s="3" t="b">
        <v>1</v>
      </c>
      <c r="V45" s="3" t="b">
        <v>1</v>
      </c>
      <c r="W45" s="3" t="b">
        <v>1</v>
      </c>
      <c r="X45" s="3"/>
      <c r="Y45" s="3" t="b">
        <v>1</v>
      </c>
      <c r="Z45" s="3" t="s">
        <v>262</v>
      </c>
    </row>
    <row r="46" spans="1:26" x14ac:dyDescent="0.25">
      <c r="A46" s="20" t="s">
        <v>343</v>
      </c>
      <c r="B46" s="3">
        <v>46</v>
      </c>
      <c r="C46" s="3" t="s">
        <v>39</v>
      </c>
      <c r="D46" s="3" t="s">
        <v>40</v>
      </c>
      <c r="E46" s="4">
        <v>45596</v>
      </c>
      <c r="F46" s="4">
        <v>45632</v>
      </c>
      <c r="G46" s="3" t="s">
        <v>344</v>
      </c>
      <c r="H46" s="3" t="s">
        <v>87</v>
      </c>
      <c r="I46" s="3"/>
      <c r="J46" s="5" t="s">
        <v>345</v>
      </c>
      <c r="K46" s="3" t="s">
        <v>44</v>
      </c>
      <c r="L46" s="5" t="s">
        <v>346</v>
      </c>
      <c r="M46" s="5" t="s">
        <v>347</v>
      </c>
      <c r="N46" s="3">
        <v>626731403</v>
      </c>
      <c r="O46" s="3" t="s">
        <v>69</v>
      </c>
      <c r="P46" s="3" t="s">
        <v>107</v>
      </c>
      <c r="Q46" s="18"/>
      <c r="R46" s="3" t="b">
        <v>0</v>
      </c>
      <c r="S46" s="5" t="s">
        <v>348</v>
      </c>
      <c r="T46" s="3" t="b">
        <v>1</v>
      </c>
      <c r="U46" s="3" t="b">
        <v>1</v>
      </c>
      <c r="V46" s="3" t="b">
        <v>1</v>
      </c>
      <c r="W46" s="3" t="b">
        <v>1</v>
      </c>
      <c r="X46" s="3" t="b">
        <v>0</v>
      </c>
      <c r="Y46" s="3" t="b">
        <v>0</v>
      </c>
      <c r="Z46" s="3" t="s">
        <v>40</v>
      </c>
    </row>
    <row r="47" spans="1:26" x14ac:dyDescent="0.25">
      <c r="A47" s="21" t="s">
        <v>349</v>
      </c>
      <c r="B47" s="3">
        <v>47</v>
      </c>
      <c r="C47" s="14" t="s">
        <v>62</v>
      </c>
      <c r="D47" s="14" t="s">
        <v>85</v>
      </c>
      <c r="E47" s="15">
        <v>45596</v>
      </c>
      <c r="F47" s="15">
        <v>45632</v>
      </c>
      <c r="G47" s="14" t="s">
        <v>350</v>
      </c>
      <c r="H47" s="14" t="s">
        <v>87</v>
      </c>
      <c r="I47" s="3"/>
      <c r="J47" s="16" t="s">
        <v>351</v>
      </c>
      <c r="K47" s="14" t="s">
        <v>44</v>
      </c>
      <c r="L47" s="16" t="s">
        <v>352</v>
      </c>
      <c r="M47" s="5" t="s">
        <v>353</v>
      </c>
      <c r="N47" s="14">
        <v>603601213</v>
      </c>
      <c r="O47" s="14" t="s">
        <v>99</v>
      </c>
      <c r="P47" s="14" t="s">
        <v>354</v>
      </c>
      <c r="Q47" s="19"/>
      <c r="R47" s="14" t="b">
        <v>0</v>
      </c>
      <c r="S47" s="3" t="s">
        <v>355</v>
      </c>
      <c r="T47" s="14" t="b">
        <v>1</v>
      </c>
      <c r="U47" s="14" t="b">
        <v>1</v>
      </c>
      <c r="V47" s="14" t="b">
        <v>1</v>
      </c>
      <c r="W47" s="14" t="b">
        <v>1</v>
      </c>
      <c r="X47" s="14" t="b">
        <v>0</v>
      </c>
      <c r="Y47" s="14" t="b">
        <v>0</v>
      </c>
      <c r="Z47" s="45" t="s">
        <v>262</v>
      </c>
    </row>
    <row r="48" spans="1:26" x14ac:dyDescent="0.25">
      <c r="A48" s="46" t="s">
        <v>356</v>
      </c>
      <c r="B48" s="3">
        <v>48</v>
      </c>
      <c r="C48" s="47" t="s">
        <v>39</v>
      </c>
      <c r="D48" s="47" t="s">
        <v>85</v>
      </c>
      <c r="E48" s="48">
        <v>45596</v>
      </c>
      <c r="F48" s="48">
        <v>45632</v>
      </c>
      <c r="G48" s="47" t="s">
        <v>357</v>
      </c>
      <c r="H48" s="47" t="s">
        <v>87</v>
      </c>
      <c r="I48" s="3"/>
      <c r="J48" s="49" t="s">
        <v>358</v>
      </c>
      <c r="K48" s="47" t="s">
        <v>44</v>
      </c>
      <c r="L48" s="49" t="s">
        <v>359</v>
      </c>
      <c r="M48" s="5" t="s">
        <v>360</v>
      </c>
      <c r="N48" s="47">
        <v>688916429</v>
      </c>
      <c r="O48" s="47" t="s">
        <v>99</v>
      </c>
      <c r="P48" s="47" t="s">
        <v>354</v>
      </c>
      <c r="Q48" s="47"/>
      <c r="R48" s="47" t="b">
        <v>0</v>
      </c>
      <c r="S48" s="5" t="s">
        <v>361</v>
      </c>
      <c r="T48" s="47" t="b">
        <v>1</v>
      </c>
      <c r="U48" s="47" t="b">
        <v>1</v>
      </c>
      <c r="V48" s="47" t="b">
        <v>1</v>
      </c>
      <c r="W48" s="47" t="b">
        <v>1</v>
      </c>
      <c r="X48" s="47" t="b">
        <v>0</v>
      </c>
      <c r="Y48" s="47" t="b">
        <v>0</v>
      </c>
      <c r="Z48" s="47" t="s">
        <v>262</v>
      </c>
    </row>
    <row r="49" spans="1:26" x14ac:dyDescent="0.25">
      <c r="A49" s="25" t="s">
        <v>362</v>
      </c>
      <c r="B49" s="3">
        <v>49</v>
      </c>
      <c r="C49" s="22" t="s">
        <v>39</v>
      </c>
      <c r="D49" s="22" t="s">
        <v>143</v>
      </c>
      <c r="E49" s="27">
        <v>45596</v>
      </c>
      <c r="F49" s="27">
        <v>45632</v>
      </c>
      <c r="G49" s="22" t="s">
        <v>363</v>
      </c>
      <c r="H49" s="22" t="s">
        <v>151</v>
      </c>
      <c r="I49" s="3"/>
      <c r="J49" s="28" t="s">
        <v>364</v>
      </c>
      <c r="K49" s="26" t="s">
        <v>44</v>
      </c>
      <c r="L49" s="54" t="s">
        <v>365</v>
      </c>
      <c r="M49" s="5" t="s">
        <v>366</v>
      </c>
      <c r="N49" s="55">
        <v>688813567</v>
      </c>
      <c r="O49" s="22" t="s">
        <v>99</v>
      </c>
      <c r="P49" s="22" t="s">
        <v>260</v>
      </c>
      <c r="Q49" s="22"/>
      <c r="R49" s="22" t="b">
        <v>0</v>
      </c>
      <c r="S49" s="28" t="s">
        <v>367</v>
      </c>
      <c r="T49" s="22" t="b">
        <v>1</v>
      </c>
      <c r="U49" s="26" t="b">
        <v>1</v>
      </c>
      <c r="V49" s="22" t="b">
        <v>0</v>
      </c>
      <c r="W49" s="22" t="b">
        <v>1</v>
      </c>
      <c r="X49" s="22" t="b">
        <v>0</v>
      </c>
      <c r="Y49" s="22" t="b">
        <v>0</v>
      </c>
      <c r="Z49" s="26" t="s">
        <v>262</v>
      </c>
    </row>
    <row r="50" spans="1:26" x14ac:dyDescent="0.25">
      <c r="A50" s="21" t="s">
        <v>368</v>
      </c>
      <c r="B50" s="3">
        <v>50</v>
      </c>
      <c r="C50" s="14" t="s">
        <v>62</v>
      </c>
      <c r="D50" s="14" t="s">
        <v>85</v>
      </c>
      <c r="E50" s="31">
        <v>45717</v>
      </c>
      <c r="F50" s="27">
        <v>45749</v>
      </c>
      <c r="G50" s="14" t="s">
        <v>369</v>
      </c>
      <c r="H50" s="14" t="s">
        <v>42</v>
      </c>
      <c r="I50" s="3" t="s">
        <v>54</v>
      </c>
      <c r="J50" s="16" t="s">
        <v>370</v>
      </c>
      <c r="K50" s="26" t="s">
        <v>44</v>
      </c>
      <c r="L50" s="16" t="s">
        <v>371</v>
      </c>
      <c r="M50" s="5" t="s">
        <v>372</v>
      </c>
      <c r="N50" s="14">
        <v>646688131</v>
      </c>
      <c r="O50" s="14" t="s">
        <v>99</v>
      </c>
      <c r="P50" s="3" t="s">
        <v>323</v>
      </c>
      <c r="Q50" s="14"/>
      <c r="R50" s="14"/>
      <c r="S50" s="3" t="s">
        <v>373</v>
      </c>
      <c r="T50" s="14" t="b">
        <v>1</v>
      </c>
      <c r="U50" s="14"/>
      <c r="V50" s="14" t="b">
        <v>1</v>
      </c>
      <c r="W50" s="14" t="b">
        <v>1</v>
      </c>
      <c r="X50" s="14"/>
      <c r="Y50" s="3" t="b">
        <v>1</v>
      </c>
      <c r="Z50" s="3" t="s">
        <v>262</v>
      </c>
    </row>
    <row r="51" spans="1:26" x14ac:dyDescent="0.25">
      <c r="A51" s="21" t="s">
        <v>374</v>
      </c>
      <c r="B51" s="3">
        <v>51</v>
      </c>
      <c r="C51" s="14" t="s">
        <v>39</v>
      </c>
      <c r="D51" s="14" t="s">
        <v>85</v>
      </c>
      <c r="E51" s="31">
        <v>45737</v>
      </c>
      <c r="F51" s="15">
        <v>45777</v>
      </c>
      <c r="G51" s="14" t="s">
        <v>375</v>
      </c>
      <c r="H51" s="14" t="s">
        <v>95</v>
      </c>
      <c r="I51" s="3"/>
      <c r="J51" s="16" t="s">
        <v>376</v>
      </c>
      <c r="K51" s="26" t="s">
        <v>44</v>
      </c>
      <c r="L51" s="52" t="s">
        <v>377</v>
      </c>
      <c r="M51" s="5" t="s">
        <v>378</v>
      </c>
      <c r="N51" s="14">
        <v>661779516</v>
      </c>
      <c r="O51" s="14" t="s">
        <v>99</v>
      </c>
      <c r="P51" s="14" t="s">
        <v>100</v>
      </c>
      <c r="Q51" s="14"/>
      <c r="R51" s="14"/>
      <c r="S51" s="3" t="s">
        <v>379</v>
      </c>
      <c r="T51" s="32"/>
      <c r="U51" s="14"/>
      <c r="V51" s="14"/>
      <c r="W51" s="14"/>
      <c r="X51" s="14"/>
      <c r="Y51" s="14"/>
      <c r="Z51" s="14" t="s">
        <v>262</v>
      </c>
    </row>
    <row r="52" spans="1:26" x14ac:dyDescent="0.25">
      <c r="A52" s="21" t="s">
        <v>380</v>
      </c>
      <c r="B52" s="3">
        <v>52</v>
      </c>
      <c r="C52" s="14" t="s">
        <v>62</v>
      </c>
      <c r="D52" s="14" t="s">
        <v>85</v>
      </c>
      <c r="E52" s="31">
        <v>45762</v>
      </c>
      <c r="F52" s="15">
        <v>45840</v>
      </c>
      <c r="G52" s="14" t="s">
        <v>381</v>
      </c>
      <c r="H52" s="14" t="s">
        <v>54</v>
      </c>
      <c r="I52" s="3"/>
      <c r="J52" s="16" t="s">
        <v>382</v>
      </c>
      <c r="K52" s="26" t="s">
        <v>44</v>
      </c>
      <c r="L52" s="16" t="s">
        <v>383</v>
      </c>
      <c r="M52" s="5" t="s">
        <v>384</v>
      </c>
      <c r="N52" s="14">
        <v>675009768</v>
      </c>
      <c r="O52" s="14" t="s">
        <v>99</v>
      </c>
      <c r="P52" s="22" t="s">
        <v>82</v>
      </c>
      <c r="Q52" s="14"/>
      <c r="R52" s="14"/>
      <c r="S52" s="14" t="s">
        <v>385</v>
      </c>
      <c r="T52" s="14"/>
      <c r="U52" s="14"/>
      <c r="V52" s="14"/>
      <c r="W52" s="14" t="b">
        <v>1</v>
      </c>
      <c r="X52" s="14"/>
      <c r="Y52" s="14"/>
      <c r="Z52" s="14" t="s">
        <v>262</v>
      </c>
    </row>
    <row r="53" spans="1:26" x14ac:dyDescent="0.25"/>
    <row r="54" spans="1:26" x14ac:dyDescent="0.25"/>
    <row r="55" spans="1:26" x14ac:dyDescent="0.25"/>
    <row r="56" spans="1:26" x14ac:dyDescent="0.25"/>
  </sheetData>
  <phoneticPr fontId="2" type="noConversion"/>
  <conditionalFormatting sqref="D2:D52">
    <cfRule type="cellIs" dxfId="93" priority="49" operator="equal">
      <formula>"Member"</formula>
    </cfRule>
    <cfRule type="cellIs" dxfId="92" priority="50" operator="equal">
      <formula>"Technical"</formula>
    </cfRule>
    <cfRule type="cellIs" dxfId="91" priority="51" operator="equal">
      <formula>"Chief / Project Manager"</formula>
    </cfRule>
    <cfRule type="cellIs" dxfId="90" priority="52" operator="equal">
      <formula>"Project Manager"</formula>
    </cfRule>
    <cfRule type="cellIs" dxfId="89" priority="53" operator="equal">
      <formula>"Chief"</formula>
    </cfRule>
    <cfRule type="cellIs" dxfId="88" priority="54" operator="equal">
      <formula>"Financial Manager"</formula>
    </cfRule>
    <cfRule type="cellIs" dxfId="87" priority="55" operator="equal">
      <formula>"Team Leader"</formula>
    </cfRule>
  </conditionalFormatting>
  <conditionalFormatting sqref="H6:H21 C22:H28 B29:H52 B2:G3 J2:P3 J4:Q4 C4:G21 B4:B28 J5:P11 J12:Q12 J13:P20 J21:Q21 J22:P52">
    <cfRule type="containsBlanks" dxfId="86" priority="46">
      <formula>LEN(TRIM(B2))=0</formula>
    </cfRule>
  </conditionalFormatting>
  <conditionalFormatting sqref="H6:H52">
    <cfRule type="cellIs" dxfId="85" priority="36" operator="equal">
      <formula>"Aerostructure"</formula>
    </cfRule>
    <cfRule type="cellIs" dxfId="84" priority="39" operator="equal">
      <formula>"Structure"</formula>
    </cfRule>
    <cfRule type="cellIs" dxfId="83" priority="40" operator="equal">
      <formula>"Aerodynamics &amp; Recovery"</formula>
    </cfRule>
    <cfRule type="cellIs" dxfId="82" priority="41" operator="equal">
      <formula>"Flight Control &amp; Simulation"</formula>
    </cfRule>
    <cfRule type="cellIs" dxfId="81" priority="42" operator="equal">
      <formula>"Avionics"</formula>
    </cfRule>
  </conditionalFormatting>
  <conditionalFormatting sqref="H2:I52">
    <cfRule type="cellIs" dxfId="80" priority="33" operator="equal">
      <formula>"Simulation"</formula>
    </cfRule>
    <cfRule type="cellIs" dxfId="79" priority="34" operator="equal">
      <formula>"Recovery"</formula>
    </cfRule>
    <cfRule type="cellIs" dxfId="78" priority="35" operator="equal">
      <formula>"Structures &amp; Fabrication"</formula>
    </cfRule>
    <cfRule type="cellIs" dxfId="77" priority="37" operator="equal">
      <formula>"Flight Control"</formula>
    </cfRule>
    <cfRule type="cellIs" dxfId="76" priority="44" operator="equal">
      <formula>"Business &amp; Management"</formula>
    </cfRule>
    <cfRule type="cellIs" dxfId="75" priority="65" operator="equal">
      <formula>"Aerodynamics &amp; Recovery"</formula>
    </cfRule>
    <cfRule type="cellIs" dxfId="74" priority="66" operator="equal">
      <formula>"Structure"</formula>
    </cfRule>
    <cfRule type="cellIs" dxfId="73" priority="67" operator="equal">
      <formula>"Flight Control &amp; Simulation"</formula>
    </cfRule>
    <cfRule type="cellIs" dxfId="72" priority="68" operator="equal">
      <formula>"Avionics"</formula>
    </cfRule>
    <cfRule type="cellIs" dxfId="71" priority="69" operator="equal">
      <formula>"Propulsion"</formula>
    </cfRule>
    <cfRule type="cellIs" dxfId="70" priority="70" operator="equal">
      <formula>"Business &amp; Management"</formula>
    </cfRule>
  </conditionalFormatting>
  <conditionalFormatting sqref="Q9">
    <cfRule type="containsBlanks" dxfId="69" priority="2">
      <formula>LEN(TRIM(Q9))=0</formula>
    </cfRule>
  </conditionalFormatting>
  <conditionalFormatting sqref="Q35">
    <cfRule type="containsBlanks" dxfId="68" priority="1">
      <formula>LEN(TRIM(Q35))=0</formula>
    </cfRule>
  </conditionalFormatting>
  <conditionalFormatting sqref="R1:R52">
    <cfRule type="cellIs" dxfId="67" priority="79" operator="equal">
      <formula>FALSE</formula>
    </cfRule>
    <cfRule type="cellIs" dxfId="66" priority="80" operator="equal">
      <formula>TRUE</formula>
    </cfRule>
  </conditionalFormatting>
  <conditionalFormatting sqref="T1:Y52">
    <cfRule type="cellIs" dxfId="65" priority="77" operator="equal">
      <formula>FALSE</formula>
    </cfRule>
    <cfRule type="cellIs" dxfId="64" priority="78" operator="equal">
      <formula>TRUE</formula>
    </cfRule>
  </conditionalFormatting>
  <dataValidations count="8">
    <dataValidation type="list" allowBlank="1" showInputMessage="1" showErrorMessage="1" errorTitle="Calavera" error="Markel, no todo el mundo puede ser hombre" sqref="C2 C4:C52" xr:uid="{BA5A120B-2EB8-406F-84C4-B1985977BC77}">
      <formula1>"Mujer, Hombre, Otro"</formula1>
    </dataValidation>
    <dataValidation type="list" allowBlank="1" showInputMessage="1" showErrorMessage="1" sqref="O2:O52" xr:uid="{24A4F746-454E-4D3A-82B1-C8F80B3B7FC1}">
      <formula1>"GRADO, MÁSTER, DOCTORADO"</formula1>
    </dataValidation>
    <dataValidation type="list" allowBlank="1" showInputMessage="1" showErrorMessage="1" errorTitle="Calavera" error="Markel, en serio no te sabes el rol de la gente del equipo?" sqref="D2:D52" xr:uid="{9FC2148A-B76E-43A1-B53D-B7EC1F0EA28B}">
      <formula1>"Technical, Project Manager, Chief, Chief / Project Manager, Financial Manager, Member, Team Leader, Fase de Pruebas"</formula1>
    </dataValidation>
    <dataValidation type="list" allowBlank="1" showInputMessage="1" showErrorMessage="1" errorTitle="Calavera" error="Solo permite &quot;VERDADERO&quot; o &quot;FALSO&quot;" sqref="R2:R52" xr:uid="{31BCBEF5-D541-40CF-B31A-08A442DE9796}">
      <formula1>"VERDADERO, FALSO"</formula1>
    </dataValidation>
    <dataValidation type="list" allowBlank="1" showInputMessage="1" showErrorMessage="1" errorTitle="Calavera" error="Solo puedes introducir: &quot;VERDADERO&quot; o &quot;FALSO&quot;" sqref="T2:Y52" xr:uid="{9CA4C421-765C-442A-AA79-B73B83A42823}">
      <formula1>"VERDADERO, FALSO"</formula1>
    </dataValidation>
    <dataValidation type="list" allowBlank="1" showInputMessage="1" showErrorMessage="1" errorTitle="Calavera" error="Por favor, introduce un valor de titulo que sea verdad" sqref="Z2:Z52" xr:uid="{F41918DB-40EC-4104-B750-A0B552E62CE3}">
      <formula1>"Chief / Project Manager, Discord Admin, Fase Pruebas, Chief, Miembro, Project Manager, Technical, Sin Rol"</formula1>
    </dataValidation>
    <dataValidation type="list" operator="equal" allowBlank="1" showInputMessage="1" showErrorMessage="1" sqref="I2:I52 H2:H24 H26:H52" xr:uid="{4BC036B9-3DB1-428E-A24E-98A7A88F2D8F}">
      <formula1>"Avionics, Flight Control, Simulation, Structures &amp; Fabrication, Aerostructure, Recovery, Propulsion, Business &amp; Management"</formula1>
    </dataValidation>
    <dataValidation type="list" operator="equal" allowBlank="1" showInputMessage="1" showErrorMessage="1" sqref="H25" xr:uid="{5ACEB05E-2EDC-406E-BDA8-516F8D3D9DE9}">
      <formula1>"Avionics, Flight Control, Simulation, Structures &amp; Manufacturing, Aerostructure, Recovery, Propulsion, Business &amp; Management"</formula1>
    </dataValidation>
  </dataValidations>
  <hyperlinks>
    <hyperlink ref="J6" r:id="rId1" xr:uid="{5FE691C4-CA2F-49A9-80A9-D3438B5105FB}"/>
    <hyperlink ref="J10" r:id="rId2" xr:uid="{4400A3B1-67D0-4E3C-B69C-7F09854BBE27}"/>
    <hyperlink ref="J4" r:id="rId3" xr:uid="{1E49308D-AE67-490C-85AF-EC310E03E8F2}"/>
    <hyperlink ref="J5" r:id="rId4" xr:uid="{5D4C383E-1989-4D7E-8A1C-9A9B3310CFC9}"/>
    <hyperlink ref="J19" r:id="rId5" xr:uid="{C29556DE-0CF7-4211-9E40-93A83F6078DF}"/>
    <hyperlink ref="J18" r:id="rId6" xr:uid="{A6631D45-FBB6-471F-B792-60BF56F89FF6}"/>
    <hyperlink ref="J11" r:id="rId7" xr:uid="{E64BF3A2-E5A7-4B1D-A6BB-AB3645B6CD8F}"/>
    <hyperlink ref="J9" r:id="rId8" xr:uid="{7B7B765E-6573-439F-85CC-E1E5416C6F43}"/>
    <hyperlink ref="J8" r:id="rId9" xr:uid="{66F103C2-E236-4865-A45B-996047B5D530}"/>
    <hyperlink ref="J12" r:id="rId10" xr:uid="{BDB5A4BE-76F2-4514-BF7D-E26C837EA4D1}"/>
    <hyperlink ref="J13" r:id="rId11" xr:uid="{63A77AD8-ABAC-4B86-8108-F206D931183E}"/>
    <hyperlink ref="J14" r:id="rId12" xr:uid="{1BE8CA25-3287-4F02-9D29-55D6CCC69E97}"/>
    <hyperlink ref="J17" r:id="rId13" xr:uid="{D52452EA-FEDF-4AC0-A8C8-2B56C6C36994}"/>
    <hyperlink ref="J16" r:id="rId14" xr:uid="{B4343A36-88E2-45F2-ACC4-90A5D9142978}"/>
    <hyperlink ref="J15" r:id="rId15" xr:uid="{F1EB670B-AF0F-4B55-8747-36E98D1BA798}"/>
    <hyperlink ref="J20" r:id="rId16" xr:uid="{97A1F1A2-343A-4B54-A7AB-06E32B77F76E}"/>
    <hyperlink ref="J22" r:id="rId17" xr:uid="{FC8AE694-71EC-461A-9C6B-3A646B275700}"/>
    <hyperlink ref="J23" r:id="rId18" xr:uid="{2D8C2CCA-8E15-4E6E-8722-05BEE43FAC57}"/>
    <hyperlink ref="J34" r:id="rId19" xr:uid="{1319658E-18E2-425A-9D4D-F3625877B67D}"/>
    <hyperlink ref="J25" r:id="rId20" xr:uid="{3F65F76A-8E6F-4E72-8BA5-46E187ECF1CD}"/>
    <hyperlink ref="J21" r:id="rId21" xr:uid="{EB13A775-00C4-4A4C-B5ED-E259BD6277B7}"/>
    <hyperlink ref="J35" r:id="rId22" xr:uid="{19D30957-5CBC-4B83-907F-D80DA2FAD491}"/>
    <hyperlink ref="J29" r:id="rId23" xr:uid="{E3817A51-3603-4EBA-925B-29166FC62F46}"/>
    <hyperlink ref="J30" r:id="rId24" xr:uid="{7EC502EB-660E-4CCE-9D30-9003A77CF16D}"/>
    <hyperlink ref="J28" r:id="rId25" xr:uid="{D9A2903E-DB5D-49CA-A524-E70F0ED99E10}"/>
    <hyperlink ref="J27" r:id="rId26" xr:uid="{A4121A13-298E-4152-89F6-69E428DD3F68}"/>
    <hyperlink ref="J3" r:id="rId27" xr:uid="{76B0FA97-2989-4575-84F7-583F051BDD06}"/>
    <hyperlink ref="J2" r:id="rId28" xr:uid="{1269D643-F605-4198-8957-69D3AEB4A58B}"/>
    <hyperlink ref="J41" r:id="rId29" xr:uid="{6AB571CA-8B38-4863-B125-D3092442BAD8}"/>
    <hyperlink ref="J44" r:id="rId30" xr:uid="{89694311-93D3-4BA0-A578-7D017692378A}"/>
    <hyperlink ref="J42" r:id="rId31" xr:uid="{B84C541A-71E9-45F3-99D1-697EA9910650}"/>
    <hyperlink ref="J49" r:id="rId32" xr:uid="{322ABFB1-73F4-4359-8C8C-73FCE9F4EAF7}"/>
    <hyperlink ref="L6" r:id="rId33" xr:uid="{A141E4EF-41A1-4092-8DF5-690787F6D7B0}"/>
    <hyperlink ref="L4" r:id="rId34" xr:uid="{BBB026FC-8E4E-4DB7-B813-927A6BE95C12}"/>
    <hyperlink ref="L5" r:id="rId35" xr:uid="{00A1CAB6-4638-4AEB-A93D-1333F6B227E5}"/>
    <hyperlink ref="L10" r:id="rId36" xr:uid="{D7D57D8D-A7EE-491B-91A5-6E54734F52C9}"/>
    <hyperlink ref="L7" r:id="rId37" xr:uid="{98FA5AC2-947E-49AF-A93D-2749190D7DB2}"/>
    <hyperlink ref="L18" r:id="rId38" xr:uid="{B3B5B986-0E07-421C-8028-6E652EABD5DF}"/>
    <hyperlink ref="L19" r:id="rId39" xr:uid="{1BFB1AD3-2C6A-44F1-83D8-7C6702663690}"/>
    <hyperlink ref="L11" r:id="rId40" xr:uid="{750F7660-E163-487C-B4D9-8B391BEF45D3}"/>
    <hyperlink ref="L9" r:id="rId41" xr:uid="{F90227F3-B5C7-4CC6-A15E-555E94099600}"/>
    <hyperlink ref="L8" r:id="rId42" xr:uid="{AD4020C8-36F6-4BF2-864F-49C3B8C97679}"/>
    <hyperlink ref="L12" r:id="rId43" xr:uid="{E6BC6F70-B4D4-4A23-95AF-DB7097C673AE}"/>
    <hyperlink ref="L13" r:id="rId44" xr:uid="{049677E1-FE27-4C86-991D-CCE851BDA7D8}"/>
    <hyperlink ref="L17" r:id="rId45" xr:uid="{2B6FE970-2B1D-41BA-A86B-41451B71E558}"/>
    <hyperlink ref="L14" r:id="rId46" xr:uid="{94593928-DDE0-405E-9D5F-120AAE6B4F5D}"/>
    <hyperlink ref="L16" r:id="rId47" xr:uid="{BE2678D0-095D-4853-9E80-2BDC81E910FB}"/>
    <hyperlink ref="L15" r:id="rId48" xr:uid="{CE57433B-CA08-4A3D-9DB7-045B1DFA8230}"/>
    <hyperlink ref="L21" r:id="rId49" xr:uid="{624E94CC-22C6-452B-8AD0-BA5DB4ECE677}"/>
    <hyperlink ref="L20" r:id="rId50" xr:uid="{8A7BC752-9F39-446E-8BB1-B62DBA943241}"/>
    <hyperlink ref="L23" r:id="rId51" xr:uid="{F523F422-3B3A-4397-BA04-284D17BF8572}"/>
    <hyperlink ref="L34" r:id="rId52" xr:uid="{8271F32D-15ED-415F-AD44-C0AC57C283B7}"/>
    <hyperlink ref="L25" r:id="rId53" xr:uid="{0E66E820-6474-430C-A5FE-ACD215E0CE48}"/>
    <hyperlink ref="L35" r:id="rId54" xr:uid="{ED5BE999-BF21-47C7-ACCB-8EF0A45A6155}"/>
    <hyperlink ref="L29" r:id="rId55" xr:uid="{DA23B0CF-36D1-450C-A7CE-315B3AB64E90}"/>
    <hyperlink ref="L30" r:id="rId56" xr:uid="{74D96A18-C1D3-4CEB-A3FB-6EA2F27F79A9}"/>
    <hyperlink ref="L26" r:id="rId57" xr:uid="{95D44E6B-3D05-4316-819B-4EE8A1191697}"/>
    <hyperlink ref="L28" r:id="rId58" xr:uid="{93B9470D-4C2E-4FB9-BAF8-090C83CBC76F}"/>
    <hyperlink ref="L27" r:id="rId59" xr:uid="{74C78B97-1849-486F-90BF-DDF8F4EE1356}"/>
    <hyperlink ref="L32" r:id="rId60" xr:uid="{D8582153-C6AF-4FFE-B32B-AB3832E1D776}"/>
    <hyperlink ref="L3" r:id="rId61" xr:uid="{E171F8FE-21FB-43FE-A4BE-07BCB5F4F714}"/>
    <hyperlink ref="L2" r:id="rId62" xr:uid="{D9649595-CD13-4B2A-BD44-0921077FF199}"/>
    <hyperlink ref="M4" r:id="rId63" xr:uid="{1846FBF5-AE08-4826-97E3-F313A0D8C17E}"/>
    <hyperlink ref="M6" r:id="rId64" xr:uid="{DAAA5EDD-AC1F-4945-A901-40BB038983D3}"/>
    <hyperlink ref="M10" r:id="rId65" xr:uid="{37EA7924-D42B-4B16-AE5D-24549B8F6065}"/>
    <hyperlink ref="M5" r:id="rId66" xr:uid="{EBF56993-F126-42B7-B36B-F60F5D18E651}"/>
    <hyperlink ref="M7" r:id="rId67" xr:uid="{5AC63ED3-BDEC-4FAF-A54A-BAA17D9BF14A}"/>
    <hyperlink ref="M19" r:id="rId68" xr:uid="{F059460E-588C-402C-AAF5-0A7A7D89CFB1}"/>
    <hyperlink ref="M18" r:id="rId69" xr:uid="{A32FE20A-E739-4D3F-A2FC-BF3444DB0674}"/>
    <hyperlink ref="M11" r:id="rId70" xr:uid="{E009201D-866B-4C5F-B2EC-CCA4AA894D0C}"/>
    <hyperlink ref="M9" r:id="rId71" xr:uid="{912813AD-E9C3-478C-A91C-AAD4E5F141EF}"/>
    <hyperlink ref="M8" r:id="rId72" xr:uid="{E965945D-3C3A-420F-9BFB-24F806429FCE}"/>
    <hyperlink ref="M12" r:id="rId73" xr:uid="{571FC496-C6D6-48B9-9C08-B62C5E61F16B}"/>
    <hyperlink ref="M13" r:id="rId74" xr:uid="{4448603A-A917-43EB-8786-AEB4F2A31BFC}"/>
    <hyperlink ref="M14" r:id="rId75" xr:uid="{5B2C7E39-5FF5-42D0-A9E8-F8288DB21074}"/>
    <hyperlink ref="M17" r:id="rId76" xr:uid="{816E7240-A537-4838-97E9-7FC9C82EBEE6}"/>
    <hyperlink ref="M16" r:id="rId77" xr:uid="{768E7879-B9AB-4036-B69C-DBC3494AFB24}"/>
    <hyperlink ref="M15" r:id="rId78" xr:uid="{2D3B4AB9-79B9-4423-B52D-39B8CB29E71C}"/>
    <hyperlink ref="M24" r:id="rId79" xr:uid="{D0D1006E-73D8-4F11-9E21-059BEDDB2A15}"/>
    <hyperlink ref="M21" r:id="rId80" xr:uid="{049E853D-C3C2-4CB6-857E-EFA406A33E02}"/>
    <hyperlink ref="M20" r:id="rId81" xr:uid="{16763202-348F-45A6-9AED-AAF1DDED05DA}"/>
    <hyperlink ref="M22" r:id="rId82" xr:uid="{C4D84483-E634-4C86-B724-AFA56D927FCA}"/>
    <hyperlink ref="M23" r:id="rId83" xr:uid="{7FA21DDD-2553-44DD-B3B1-794141405574}"/>
    <hyperlink ref="M25" r:id="rId84" xr:uid="{B0CE693A-8B87-4D72-89DE-D2BDC7ECEB54}"/>
    <hyperlink ref="M29" r:id="rId85" xr:uid="{37C01AA3-F09D-4A4A-8340-7FEE5F3B172A}"/>
    <hyperlink ref="M30" r:id="rId86" xr:uid="{809E5715-1E7D-49D0-8BC4-508FDF18CB28}"/>
    <hyperlink ref="M26" r:id="rId87" xr:uid="{C35EDD3B-5651-4652-A033-B4B01529E0D3}"/>
    <hyperlink ref="M28" r:id="rId88" xr:uid="{6F4A2653-768E-4F36-9416-9F190002FA4D}"/>
    <hyperlink ref="M27" r:id="rId89" xr:uid="{671DB6A9-445A-4004-933C-745F92EB7FC6}"/>
    <hyperlink ref="M3" r:id="rId90" xr:uid="{0E956486-C1E7-43FA-8DAA-673F157A97F2}"/>
    <hyperlink ref="M2" r:id="rId91" xr:uid="{B63ED5BD-E57E-4319-97DA-859A12F95C49}"/>
    <hyperlink ref="L49" r:id="rId92" xr:uid="{27FD317F-3D93-49ED-A07E-24A533468D70}"/>
    <hyperlink ref="L24" r:id="rId93" xr:uid="{03183911-7B6D-442B-9B32-120C8AB62A98}"/>
    <hyperlink ref="L45" r:id="rId94" xr:uid="{18FACFA6-0AE2-4095-93C3-0D9CA1810B01}"/>
    <hyperlink ref="L40" r:id="rId95" xr:uid="{468AC271-78D2-4069-A0D3-09C1A267ABC2}"/>
    <hyperlink ref="L39" r:id="rId96" xr:uid="{C148C62C-959D-4B98-B98A-0FD321397905}"/>
    <hyperlink ref="L33" r:id="rId97" xr:uid="{D38957CB-E6B4-4114-8E4C-74C7090AB182}"/>
    <hyperlink ref="L22" r:id="rId98" xr:uid="{7C485ABA-0487-4568-A97C-2E05E7EA63E3}"/>
    <hyperlink ref="L43" r:id="rId99" xr:uid="{6DEABD5C-EB3C-4CF7-A55F-DFB35B847B5D}"/>
    <hyperlink ref="L37" r:id="rId100" xr:uid="{7FDE2D6C-8A30-4B87-BB17-022767D145F3}"/>
    <hyperlink ref="L36" r:id="rId101" xr:uid="{9ACD13B0-9CA0-4CDB-8F69-BAA21C8BD64F}"/>
    <hyperlink ref="L38" r:id="rId102" xr:uid="{348BD1C7-E9E1-4C33-999C-269811E899F5}"/>
    <hyperlink ref="J37" r:id="rId103" xr:uid="{224E6447-C37D-459D-A6F2-27327AD024EC}"/>
    <hyperlink ref="J38" r:id="rId104" xr:uid="{EC083104-51C5-4DDF-8B95-8C59AD551B05}"/>
    <hyperlink ref="L42" r:id="rId105" xr:uid="{C42F23E8-061A-4ECA-AE77-39891ED8DE78}"/>
    <hyperlink ref="L44" r:id="rId106" xr:uid="{0493C277-0D99-4A04-8BF1-BE2B175A65A2}"/>
    <hyperlink ref="L41" r:id="rId107" xr:uid="{6FA22A47-93F0-43A9-80C6-A53121987362}"/>
    <hyperlink ref="J36" r:id="rId108" xr:uid="{A700815A-8D9A-463E-A038-2807B4D31027}"/>
    <hyperlink ref="J48" r:id="rId109" display="mailto:laclaumikel@gmail.com" xr:uid="{EBE119BB-3368-9C4C-9A25-CE76EA6AE5D2}"/>
    <hyperlink ref="L48" r:id="rId110" display="mailto:mlaclau001@ikasle.ehu.eus" xr:uid="{58612486-5C00-9243-8E97-54A4D6EBFD92}"/>
    <hyperlink ref="J47" r:id="rId111" display="mailto:martinaolmosmurcia@gmail.com" xr:uid="{57DC4A3B-5293-DE43-97A3-8C5E7BE2DE3D}"/>
    <hyperlink ref="L47" r:id="rId112" display="mailto:molmos004@ikasle.ehu.eus" xr:uid="{AAD1D611-E04E-2A45-8A00-84758D05E298}"/>
    <hyperlink ref="L46" r:id="rId113" xr:uid="{94EB2564-A38D-2145-B770-03F5651829C4}"/>
    <hyperlink ref="J46" r:id="rId114" xr:uid="{58F80EE8-DAAE-0D49-B18B-5AD6EF05C9A0}"/>
    <hyperlink ref="J40" r:id="rId115" xr:uid="{D4B8AB52-0072-495E-BBC4-9CBED60C5371}"/>
    <hyperlink ref="J45" r:id="rId116" xr:uid="{C857D0ED-31FF-4248-9701-68E84D369389}"/>
    <hyperlink ref="J39" r:id="rId117" xr:uid="{4B132E9D-5B08-43DB-9588-CB9F3829AF50}"/>
    <hyperlink ref="J50" r:id="rId118" xr:uid="{D883CE49-DF77-49E9-9C4D-393FB8904411}"/>
    <hyperlink ref="L50" r:id="rId119" xr:uid="{DB43D889-956A-4D6A-9B9C-3C036B269803}"/>
    <hyperlink ref="J26" r:id="rId120" xr:uid="{D4E4A183-2089-4CF7-8279-42380DBCEEA2}"/>
    <hyperlink ref="M47" r:id="rId121" xr:uid="{DA37D2FE-8FC1-4594-9D80-FDA82BDB28E6}"/>
    <hyperlink ref="M43" r:id="rId122" xr:uid="{95573CD0-E163-4522-8FF6-24F52D786858}"/>
    <hyperlink ref="M38" r:id="rId123" xr:uid="{9F2E7800-B796-4580-9661-6531CDA2008A}"/>
    <hyperlink ref="M37" r:id="rId124" xr:uid="{945065DE-731E-4232-B571-FCE7F2D1DD0B}"/>
    <hyperlink ref="M36" r:id="rId125" xr:uid="{AED08209-EEC1-45F3-A3FE-5069A4C22051}"/>
    <hyperlink ref="J32" r:id="rId126" xr:uid="{B47BCC95-EC97-40B0-890D-31A43945BC4C}"/>
    <hyperlink ref="J33" r:id="rId127" xr:uid="{CF0C0C3C-CE42-48F5-BF31-B1B1B30C7C6F}"/>
    <hyperlink ref="J24" r:id="rId128" xr:uid="{35FBABD1-FD60-4D32-8626-0828812D67CA}"/>
    <hyperlink ref="M35" r:id="rId129" xr:uid="{06E587C8-7AF3-4637-B17B-AD9DB98C1F31}"/>
    <hyperlink ref="M44" r:id="rId130" display="mailto:umartitegi@biskyteam.com" xr:uid="{5669AB72-4DE9-4A56-AB98-9C380AE7C1A6}"/>
    <hyperlink ref="M41" r:id="rId131" display="mailto:mdavis@biskyteam.com" xr:uid="{F8279FFA-8A46-498A-B825-448A071D8ECB}"/>
    <hyperlink ref="M34" r:id="rId132" xr:uid="{F94B7A2D-4748-4AA6-94B8-6BAA79C4E631}"/>
    <hyperlink ref="M33" r:id="rId133" xr:uid="{F61851AD-6250-4E43-BDC0-5D4EDF11471C}"/>
    <hyperlink ref="M31" r:id="rId134" xr:uid="{F69E1620-20C0-4ED2-864A-DAD304D084B4}"/>
    <hyperlink ref="M32" r:id="rId135" xr:uid="{CB1951AD-8BD7-45DD-8CA3-61536BB34A4F}"/>
    <hyperlink ref="M39" r:id="rId136" xr:uid="{1CCB0AE9-DD28-4A64-A953-107357CD0597}"/>
    <hyperlink ref="M40" r:id="rId137" xr:uid="{14B81A74-3536-4902-A8E9-4BC97B4D4F41}"/>
    <hyperlink ref="M45" r:id="rId138" xr:uid="{C3F6C2D1-F950-49E4-8E96-328F9F430A60}"/>
    <hyperlink ref="M49" r:id="rId139" xr:uid="{F7E82D79-544B-43A8-AE65-3421EE73FFAE}"/>
    <hyperlink ref="M50" r:id="rId140" xr:uid="{915CCB0E-1A3F-43DF-8EA4-DF0AB88CEBF1}"/>
    <hyperlink ref="M51" r:id="rId141" xr:uid="{2F888B34-DB8D-4B86-B6B7-6CD1CEBDCFF7}"/>
    <hyperlink ref="L51" r:id="rId142" xr:uid="{C16B7AE6-F1D6-4DAE-80C9-7BB682806F83}"/>
    <hyperlink ref="J51" r:id="rId143" xr:uid="{3EB9C6BA-9344-46FB-94F2-701D686E7553}"/>
    <hyperlink ref="K19" r:id="rId144" xr:uid="{1116485E-8608-4BCD-9D44-E84E13E82D3E}"/>
    <hyperlink ref="L52" r:id="rId145" xr:uid="{A152A68F-3213-43DF-A3BF-525FC03193F2}"/>
    <hyperlink ref="M52" r:id="rId146" xr:uid="{DE0455C6-C495-4E0C-AD1D-E485E92ED02B}"/>
    <hyperlink ref="J52" r:id="rId147" xr:uid="{26882704-6CC6-44A5-A57D-32C822EB2959}"/>
    <hyperlink ref="K4" r:id="rId148" xr:uid="{C5856A44-5B69-4BD0-83C8-B7115F18C74F}"/>
    <hyperlink ref="S4" r:id="rId149" xr:uid="{9F26C1DE-B566-447F-8740-165C32AF0A1D}"/>
    <hyperlink ref="S3" r:id="rId150" xr:uid="{3F67AE88-03D8-4751-9426-A9B48FADF684}"/>
    <hyperlink ref="S17" r:id="rId151" xr:uid="{6BA918C5-F03A-4031-9414-B0F688CEEF79}"/>
    <hyperlink ref="S22" r:id="rId152" xr:uid="{9D3A2152-0261-4EFA-A398-597D8057B32A}"/>
    <hyperlink ref="S43" r:id="rId153" xr:uid="{7F70A4AA-8C9B-4861-82DC-2D717799562C}"/>
    <hyperlink ref="S7" r:id="rId154" xr:uid="{DE4603A7-E2A1-4002-B984-C475C77EE4DE}"/>
    <hyperlink ref="S18" r:id="rId155" xr:uid="{7F1267AA-148E-40FA-939A-4D19A0D638B4}"/>
    <hyperlink ref="S20" r:id="rId156" xr:uid="{FB0EBDD6-EB9A-44C9-960D-BE7CF8B5A1C4}"/>
    <hyperlink ref="S21" r:id="rId157" xr:uid="{0456EF1A-1D6C-44AC-9C94-700448355C20}"/>
    <hyperlink ref="S23" r:id="rId158" xr:uid="{9E413EB7-1D90-405E-92A9-7F906B569375}"/>
    <hyperlink ref="S42" r:id="rId159" xr:uid="{7E58DB40-4D86-4CFB-8BA7-13C2726F8F8C}"/>
    <hyperlink ref="S2" r:id="rId160" xr:uid="{58DE13CD-E145-449E-A8E5-DF3DD677A4BA}"/>
    <hyperlink ref="S15" r:id="rId161" xr:uid="{CDA1434F-0295-4461-BF78-CBD8F0770BAB}"/>
    <hyperlink ref="S49" r:id="rId162" xr:uid="{7D20BAF8-0550-4A12-8E8F-8C3CF7C35C66}"/>
    <hyperlink ref="S6" r:id="rId163" xr:uid="{6B86C3C9-7DA4-4D90-ABC3-1D6AB0FB8F8E}"/>
    <hyperlink ref="S8" r:id="rId164" xr:uid="{702F6169-9905-4BCB-B209-74D571D3E065}"/>
    <hyperlink ref="S9" r:id="rId165" xr:uid="{DBD3669C-8A11-4EC8-A785-2D937E175F2D}"/>
    <hyperlink ref="S16" r:id="rId166" xr:uid="{6C35030D-5128-4E94-8755-0B01A46DF884}"/>
    <hyperlink ref="S25" r:id="rId167" xr:uid="{D7F19D1A-95C9-4231-88CC-ACFE6AF8BB99}"/>
    <hyperlink ref="S34" r:id="rId168" xr:uid="{75C5356A-4C56-49E8-AA3C-1E98BFF94EF3}"/>
    <hyperlink ref="S35" r:id="rId169" xr:uid="{7DF94DF0-3340-489E-8B89-C7DE5A56F2B4}"/>
    <hyperlink ref="S46" r:id="rId170" xr:uid="{BE4A45B0-A523-49AC-9ED4-DE8376509356}"/>
    <hyperlink ref="S48" r:id="rId171" xr:uid="{F5FDD38B-C1D9-4D23-AB0E-1DD2F570411C}"/>
    <hyperlink ref="S5" r:id="rId172" xr:uid="{65281927-52B3-4DAF-880F-60342C6CA68B}"/>
    <hyperlink ref="S29" r:id="rId173" xr:uid="{A57861E1-7F07-4763-8E66-DACCCBCCBF23}"/>
    <hyperlink ref="S30" r:id="rId174" xr:uid="{81E5F7E0-2ACD-44BA-9B4F-4A635D6D65E4}"/>
    <hyperlink ref="S11" r:id="rId175" xr:uid="{24856781-0172-4EDB-B50F-790DA8EF6389}"/>
    <hyperlink ref="S19" r:id="rId176" xr:uid="{C84C795D-0003-414C-B24D-88D86EBEDEED}"/>
    <hyperlink ref="S27" r:id="rId177" xr:uid="{F5F43671-986B-4F30-97A1-B9DF02C7CCB0}"/>
    <hyperlink ref="S10" r:id="rId178" xr:uid="{BDC2F536-1D95-4745-82A2-343CCA53480B}"/>
    <hyperlink ref="S13" r:id="rId179" xr:uid="{4C7E388F-5F95-468B-AB02-86B2678F018E}"/>
    <hyperlink ref="S14" r:id="rId180" xr:uid="{08FDD212-E39C-42D9-8111-0574153F837D}"/>
    <hyperlink ref="S24" r:id="rId181" xr:uid="{C1296FDD-283B-497D-8DFF-ECECE6675625}"/>
    <hyperlink ref="S26" r:id="rId182" xr:uid="{E8EE7B31-EA8E-4899-AC48-86AED528E59B}"/>
    <hyperlink ref="S32" r:id="rId183" xr:uid="{AB8F006C-CD44-4F4E-8409-58A5012C8D4E}"/>
    <hyperlink ref="S33" r:id="rId184" xr:uid="{32C637A2-36DD-4835-B781-6C3C0B20A908}"/>
    <hyperlink ref="S39" r:id="rId185" xr:uid="{EE59D720-B004-4427-806E-4D8B0D059BBF}"/>
    <hyperlink ref="J7" r:id="rId186" xr:uid="{0F8D8020-6AF5-4AA3-92DF-B3E07EC4F872}"/>
  </hyperlinks>
  <pageMargins left="0.7" right="0.7" top="0.75" bottom="0.75" header="0.3" footer="0.3"/>
  <pageSetup paperSize="9" orientation="portrait" r:id="rId187"/>
  <tableParts count="1">
    <tablePart r:id="rId18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51B2-8D2E-45F1-800D-1936F21273EE}">
  <dimension ref="A1:AA14"/>
  <sheetViews>
    <sheetView zoomScale="83" workbookViewId="0">
      <pane xSplit="1" topLeftCell="H1" activePane="topRight" state="frozen"/>
      <selection pane="topRight" activeCell="M3" sqref="M3"/>
    </sheetView>
  </sheetViews>
  <sheetFormatPr baseColWidth="10" defaultColWidth="11.42578125" defaultRowHeight="15" x14ac:dyDescent="0.25"/>
  <cols>
    <col min="1" max="1" width="30.42578125" style="7" bestFit="1" customWidth="1"/>
    <col min="2" max="2" width="12.28515625" bestFit="1" customWidth="1"/>
    <col min="3" max="3" width="11.5703125" bestFit="1" customWidth="1"/>
    <col min="4" max="4" width="22.28515625" bestFit="1" customWidth="1"/>
    <col min="5" max="5" width="24" bestFit="1" customWidth="1"/>
    <col min="6" max="6" width="32.28515625" bestFit="1" customWidth="1"/>
    <col min="7" max="7" width="12.7109375" customWidth="1"/>
    <col min="8" max="8" width="25.5703125" customWidth="1"/>
    <col min="9" max="9" width="13" bestFit="1" customWidth="1"/>
    <col min="10" max="10" width="32.28515625" bestFit="1" customWidth="1"/>
    <col min="11" max="11" width="19.28515625" bestFit="1" customWidth="1"/>
    <col min="12" max="12" width="32.140625" bestFit="1" customWidth="1"/>
    <col min="13" max="13" width="30.140625" bestFit="1" customWidth="1"/>
    <col min="14" max="14" width="14.28515625" bestFit="1" customWidth="1"/>
    <col min="15" max="15" width="25.5703125" bestFit="1" customWidth="1"/>
    <col min="16" max="16" width="69.140625" bestFit="1" customWidth="1"/>
    <col min="17" max="17" width="55.42578125" bestFit="1" customWidth="1"/>
    <col min="18" max="18" width="14.5703125" bestFit="1" customWidth="1"/>
    <col min="19" max="19" width="26.28515625" bestFit="1" customWidth="1"/>
    <col min="20" max="20" width="31.7109375" bestFit="1" customWidth="1"/>
    <col min="21" max="21" width="16.7109375" bestFit="1" customWidth="1"/>
    <col min="22" max="22" width="19.28515625" bestFit="1" customWidth="1"/>
    <col min="23" max="23" width="20.28515625" bestFit="1" customWidth="1"/>
    <col min="24" max="24" width="21.7109375" bestFit="1" customWidth="1"/>
    <col min="25" max="25" width="25" bestFit="1" customWidth="1"/>
    <col min="26" max="26" width="17.28515625" bestFit="1" customWidth="1"/>
    <col min="27" max="27" width="16.7109375" bestFit="1" customWidth="1"/>
  </cols>
  <sheetData>
    <row r="1" spans="1:27" x14ac:dyDescent="0.25">
      <c r="A1" s="13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2" t="s">
        <v>17</v>
      </c>
      <c r="G1" s="1" t="s">
        <v>18</v>
      </c>
      <c r="H1" s="1" t="s">
        <v>19</v>
      </c>
      <c r="I1" s="1" t="s">
        <v>386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387</v>
      </c>
      <c r="U1" s="1" t="s">
        <v>32</v>
      </c>
      <c r="V1" s="1" t="s">
        <v>33</v>
      </c>
      <c r="W1" s="1" t="s">
        <v>388</v>
      </c>
      <c r="X1" s="1" t="s">
        <v>35</v>
      </c>
      <c r="Y1" s="1" t="s">
        <v>36</v>
      </c>
      <c r="Z1" s="1" t="s">
        <v>389</v>
      </c>
      <c r="AA1" s="1" t="s">
        <v>37</v>
      </c>
    </row>
    <row r="2" spans="1:27" x14ac:dyDescent="0.25">
      <c r="A2" s="13" t="s">
        <v>390</v>
      </c>
      <c r="B2" s="1">
        <v>1</v>
      </c>
      <c r="C2" s="1" t="s">
        <v>62</v>
      </c>
      <c r="D2" s="1" t="s">
        <v>391</v>
      </c>
      <c r="E2" s="2">
        <v>44208</v>
      </c>
      <c r="F2" s="2">
        <v>44449</v>
      </c>
      <c r="G2" s="1" t="s">
        <v>392</v>
      </c>
      <c r="H2" s="1" t="s">
        <v>151</v>
      </c>
      <c r="I2" s="1" t="s">
        <v>393</v>
      </c>
      <c r="J2" s="9" t="s">
        <v>394</v>
      </c>
      <c r="K2" s="1"/>
      <c r="L2" s="9" t="s">
        <v>44</v>
      </c>
      <c r="M2" s="9" t="s">
        <v>395</v>
      </c>
      <c r="N2" s="1">
        <v>688683097</v>
      </c>
      <c r="O2" s="1"/>
      <c r="P2" s="1"/>
      <c r="Q2" s="1" t="s">
        <v>396</v>
      </c>
      <c r="R2" s="1"/>
      <c r="S2" s="9" t="s">
        <v>397</v>
      </c>
      <c r="T2" s="1" t="b">
        <v>1</v>
      </c>
      <c r="U2" s="1" t="b">
        <v>1</v>
      </c>
      <c r="V2" s="1" t="b">
        <v>1</v>
      </c>
      <c r="W2" s="1" t="b">
        <v>1</v>
      </c>
      <c r="X2" s="1" t="b">
        <v>1</v>
      </c>
      <c r="Y2" s="1" t="b">
        <v>1</v>
      </c>
      <c r="Z2" s="1" t="b">
        <v>1</v>
      </c>
      <c r="AA2" s="64" t="s">
        <v>51</v>
      </c>
    </row>
    <row r="3" spans="1:27" x14ac:dyDescent="0.25">
      <c r="A3" s="13" t="s">
        <v>398</v>
      </c>
      <c r="B3" s="1">
        <f t="shared" ref="B3:B13" si="0">B2+1</f>
        <v>2</v>
      </c>
      <c r="C3" s="1" t="s">
        <v>39</v>
      </c>
      <c r="D3" s="1" t="s">
        <v>391</v>
      </c>
      <c r="E3" s="2">
        <v>44307</v>
      </c>
      <c r="F3" s="2">
        <v>44322</v>
      </c>
      <c r="G3" s="1" t="s">
        <v>399</v>
      </c>
      <c r="H3" s="1" t="s">
        <v>42</v>
      </c>
      <c r="I3" s="1"/>
      <c r="J3" s="9" t="s">
        <v>400</v>
      </c>
      <c r="K3" s="1"/>
      <c r="L3" s="9" t="s">
        <v>401</v>
      </c>
      <c r="M3" s="78" t="s">
        <v>402</v>
      </c>
      <c r="N3" s="1">
        <v>640369515</v>
      </c>
      <c r="O3" s="1" t="s">
        <v>69</v>
      </c>
      <c r="P3" s="1" t="s">
        <v>70</v>
      </c>
      <c r="Q3" s="1" t="s">
        <v>403</v>
      </c>
      <c r="R3" s="1"/>
      <c r="S3" s="9" t="s">
        <v>404</v>
      </c>
      <c r="T3" s="1" t="b">
        <v>1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1</v>
      </c>
      <c r="AA3" s="64" t="s">
        <v>51</v>
      </c>
    </row>
    <row r="4" spans="1:27" x14ac:dyDescent="0.25">
      <c r="A4" s="13" t="s">
        <v>405</v>
      </c>
      <c r="B4" s="1">
        <f t="shared" si="0"/>
        <v>3</v>
      </c>
      <c r="C4" s="1" t="s">
        <v>39</v>
      </c>
      <c r="D4" s="1" t="s">
        <v>391</v>
      </c>
      <c r="E4" s="2">
        <v>44875</v>
      </c>
      <c r="F4" s="2">
        <v>44905</v>
      </c>
      <c r="G4" s="1" t="s">
        <v>406</v>
      </c>
      <c r="H4" s="1" t="s">
        <v>407</v>
      </c>
      <c r="I4" s="1" t="s">
        <v>393</v>
      </c>
      <c r="J4" s="9" t="s">
        <v>408</v>
      </c>
      <c r="K4" s="1"/>
      <c r="L4" s="9" t="s">
        <v>409</v>
      </c>
      <c r="M4" s="9" t="s">
        <v>410</v>
      </c>
      <c r="N4" s="1" t="s">
        <v>411</v>
      </c>
      <c r="O4" s="1" t="s">
        <v>69</v>
      </c>
      <c r="P4" s="1"/>
      <c r="Q4" s="1" t="s">
        <v>412</v>
      </c>
      <c r="R4" s="1"/>
      <c r="S4" s="1"/>
      <c r="T4" s="1" t="b">
        <v>1</v>
      </c>
      <c r="U4" s="1" t="b">
        <v>1</v>
      </c>
      <c r="V4" s="1" t="b">
        <v>1</v>
      </c>
      <c r="W4" s="1" t="b">
        <v>1</v>
      </c>
      <c r="X4" s="1" t="b">
        <v>1</v>
      </c>
      <c r="Y4" s="1" t="b">
        <v>1</v>
      </c>
      <c r="Z4" s="1" t="b">
        <v>1</v>
      </c>
      <c r="AA4" s="64" t="s">
        <v>51</v>
      </c>
    </row>
    <row r="5" spans="1:27" x14ac:dyDescent="0.25">
      <c r="A5" s="13" t="s">
        <v>413</v>
      </c>
      <c r="B5" s="1">
        <f t="shared" si="0"/>
        <v>4</v>
      </c>
      <c r="C5" s="1" t="s">
        <v>62</v>
      </c>
      <c r="D5" s="1" t="s">
        <v>391</v>
      </c>
      <c r="E5" s="2">
        <v>45210</v>
      </c>
      <c r="F5" s="2">
        <v>45240</v>
      </c>
      <c r="G5" s="1" t="s">
        <v>414</v>
      </c>
      <c r="H5" s="1" t="s">
        <v>87</v>
      </c>
      <c r="I5" s="1" t="s">
        <v>393</v>
      </c>
      <c r="J5" s="9" t="s">
        <v>415</v>
      </c>
      <c r="K5" s="1"/>
      <c r="L5" s="9" t="s">
        <v>416</v>
      </c>
      <c r="M5" s="9" t="s">
        <v>44</v>
      </c>
      <c r="N5" s="1">
        <v>633544636</v>
      </c>
      <c r="O5" s="1" t="s">
        <v>69</v>
      </c>
      <c r="P5" s="1"/>
      <c r="Q5" s="1" t="s">
        <v>417</v>
      </c>
      <c r="R5" s="1"/>
      <c r="S5" s="1"/>
      <c r="T5" s="1" t="b">
        <v>1</v>
      </c>
      <c r="U5" s="1" t="b">
        <v>1</v>
      </c>
      <c r="V5" s="1" t="b">
        <v>1</v>
      </c>
      <c r="W5" s="1" t="b">
        <v>1</v>
      </c>
      <c r="X5" s="1" t="b">
        <v>1</v>
      </c>
      <c r="Y5" s="1" t="b">
        <v>1</v>
      </c>
      <c r="Z5" s="1" t="b">
        <v>1</v>
      </c>
      <c r="AA5" s="64" t="s">
        <v>51</v>
      </c>
    </row>
    <row r="6" spans="1:27" x14ac:dyDescent="0.25">
      <c r="A6" s="13" t="s">
        <v>418</v>
      </c>
      <c r="B6" s="1">
        <f t="shared" si="0"/>
        <v>5</v>
      </c>
      <c r="C6" s="1" t="s">
        <v>39</v>
      </c>
      <c r="D6" s="1" t="s">
        <v>391</v>
      </c>
      <c r="E6" s="2"/>
      <c r="F6" s="2" t="s">
        <v>419</v>
      </c>
      <c r="G6" s="1" t="s">
        <v>420</v>
      </c>
      <c r="H6" s="1" t="s">
        <v>421</v>
      </c>
      <c r="I6" s="1"/>
      <c r="J6" s="9" t="s">
        <v>422</v>
      </c>
      <c r="K6" s="1"/>
      <c r="L6" s="9" t="s">
        <v>423</v>
      </c>
      <c r="M6" s="9" t="s">
        <v>424</v>
      </c>
      <c r="N6" s="1">
        <v>678477445</v>
      </c>
      <c r="O6" s="1" t="s">
        <v>69</v>
      </c>
      <c r="P6" s="1" t="s">
        <v>425</v>
      </c>
      <c r="Q6" s="1" t="s">
        <v>100</v>
      </c>
      <c r="R6" s="1"/>
      <c r="S6" s="1"/>
      <c r="T6" s="1" t="b">
        <v>1</v>
      </c>
      <c r="U6" s="1" t="b">
        <v>0</v>
      </c>
      <c r="V6" s="1" t="b">
        <v>1</v>
      </c>
      <c r="W6" s="1" t="b">
        <v>1</v>
      </c>
      <c r="X6" s="1" t="b">
        <v>1</v>
      </c>
      <c r="Y6" s="1" t="b">
        <v>1</v>
      </c>
      <c r="Z6" s="1" t="b">
        <v>1</v>
      </c>
      <c r="AA6" s="64" t="s">
        <v>51</v>
      </c>
    </row>
    <row r="7" spans="1:27" x14ac:dyDescent="0.25">
      <c r="A7" s="13" t="s">
        <v>426</v>
      </c>
      <c r="B7" s="1">
        <f t="shared" si="0"/>
        <v>6</v>
      </c>
      <c r="C7" s="1" t="s">
        <v>39</v>
      </c>
      <c r="D7" s="1" t="s">
        <v>391</v>
      </c>
      <c r="E7" s="2">
        <v>44482</v>
      </c>
      <c r="F7" s="2">
        <v>44612</v>
      </c>
      <c r="G7" s="2" t="s">
        <v>427</v>
      </c>
      <c r="H7" s="1" t="s">
        <v>42</v>
      </c>
      <c r="I7" s="1" t="s">
        <v>393</v>
      </c>
      <c r="J7" s="9" t="s">
        <v>428</v>
      </c>
      <c r="K7" s="1"/>
      <c r="L7" s="9"/>
      <c r="M7" s="9" t="s">
        <v>429</v>
      </c>
      <c r="N7" s="1">
        <v>659122077</v>
      </c>
      <c r="O7" s="1" t="s">
        <v>69</v>
      </c>
      <c r="P7" s="1" t="s">
        <v>425</v>
      </c>
      <c r="Q7" s="1" t="s">
        <v>430</v>
      </c>
      <c r="R7" s="1"/>
      <c r="S7" s="9" t="s">
        <v>431</v>
      </c>
      <c r="T7" s="1" t="b">
        <v>1</v>
      </c>
      <c r="U7" s="1" t="b">
        <v>1</v>
      </c>
      <c r="V7" s="1" t="b">
        <v>1</v>
      </c>
      <c r="W7" s="1" t="b">
        <v>1</v>
      </c>
      <c r="X7" s="1" t="b">
        <v>1</v>
      </c>
      <c r="Y7" s="1" t="b">
        <v>1</v>
      </c>
      <c r="Z7" s="1" t="b">
        <v>1</v>
      </c>
      <c r="AA7" s="64" t="s">
        <v>51</v>
      </c>
    </row>
    <row r="8" spans="1:27" x14ac:dyDescent="0.25">
      <c r="A8" s="13" t="s">
        <v>432</v>
      </c>
      <c r="B8" s="1">
        <f t="shared" si="0"/>
        <v>7</v>
      </c>
      <c r="C8" s="1" t="s">
        <v>39</v>
      </c>
      <c r="D8" s="1" t="s">
        <v>391</v>
      </c>
      <c r="E8" s="1">
        <v>45210</v>
      </c>
      <c r="F8" s="1">
        <v>45445</v>
      </c>
      <c r="G8" s="1" t="s">
        <v>433</v>
      </c>
      <c r="H8" s="1" t="s">
        <v>195</v>
      </c>
      <c r="I8" s="1"/>
      <c r="J8" s="9" t="s">
        <v>434</v>
      </c>
      <c r="K8" s="1" t="s">
        <v>44</v>
      </c>
      <c r="L8" s="9" t="s">
        <v>435</v>
      </c>
      <c r="M8" s="9" t="s">
        <v>436</v>
      </c>
      <c r="N8" s="1">
        <v>692591376</v>
      </c>
      <c r="O8" s="1" t="s">
        <v>99</v>
      </c>
      <c r="P8" s="1" t="s">
        <v>323</v>
      </c>
      <c r="Q8" s="1"/>
      <c r="R8" s="1"/>
      <c r="S8" s="74" t="s">
        <v>437</v>
      </c>
      <c r="T8" s="1" t="b">
        <v>0</v>
      </c>
      <c r="U8" s="71" t="b">
        <v>1</v>
      </c>
      <c r="V8" s="1" t="b">
        <v>1</v>
      </c>
      <c r="W8" s="1" t="b">
        <v>1</v>
      </c>
      <c r="X8" s="1" t="b">
        <v>1</v>
      </c>
      <c r="Y8" s="1" t="b">
        <v>0</v>
      </c>
      <c r="Z8" s="1" t="b">
        <v>1</v>
      </c>
      <c r="AA8" s="64" t="s">
        <v>51</v>
      </c>
    </row>
    <row r="9" spans="1:27" x14ac:dyDescent="0.25">
      <c r="A9" s="13" t="s">
        <v>438</v>
      </c>
      <c r="B9" s="1">
        <f t="shared" si="0"/>
        <v>8</v>
      </c>
      <c r="C9" s="1" t="s">
        <v>39</v>
      </c>
      <c r="D9" s="1" t="s">
        <v>391</v>
      </c>
      <c r="E9" s="1">
        <v>44482</v>
      </c>
      <c r="F9" s="1">
        <v>44885</v>
      </c>
      <c r="G9" s="1" t="s">
        <v>439</v>
      </c>
      <c r="H9" s="1" t="s">
        <v>87</v>
      </c>
      <c r="I9" s="1"/>
      <c r="J9" s="9" t="s">
        <v>440</v>
      </c>
      <c r="K9" s="1" t="s">
        <v>44</v>
      </c>
      <c r="L9" s="9" t="s">
        <v>441</v>
      </c>
      <c r="M9" s="9" t="s">
        <v>442</v>
      </c>
      <c r="N9" s="1">
        <v>626753444</v>
      </c>
      <c r="O9" s="1" t="s">
        <v>69</v>
      </c>
      <c r="P9" s="1" t="s">
        <v>425</v>
      </c>
      <c r="Q9" s="1" t="s">
        <v>100</v>
      </c>
      <c r="R9" s="1"/>
      <c r="S9" s="75" t="s">
        <v>443</v>
      </c>
      <c r="T9" s="1" t="b">
        <v>0</v>
      </c>
      <c r="U9" s="1" t="b">
        <v>1</v>
      </c>
      <c r="V9" s="1" t="b">
        <v>1</v>
      </c>
      <c r="W9" s="1" t="b">
        <v>1</v>
      </c>
      <c r="X9" s="1" t="b">
        <v>1</v>
      </c>
      <c r="Y9" s="1" t="b">
        <v>1</v>
      </c>
      <c r="Z9" s="1" t="b">
        <v>1</v>
      </c>
      <c r="AA9" s="64" t="s">
        <v>51</v>
      </c>
    </row>
    <row r="10" spans="1:27" x14ac:dyDescent="0.25">
      <c r="A10" s="13" t="s">
        <v>444</v>
      </c>
      <c r="B10" s="1">
        <f t="shared" si="0"/>
        <v>9</v>
      </c>
      <c r="C10" s="1" t="s">
        <v>39</v>
      </c>
      <c r="D10" s="1" t="s">
        <v>391</v>
      </c>
      <c r="E10" s="1">
        <v>45202</v>
      </c>
      <c r="F10" s="1">
        <v>45233</v>
      </c>
      <c r="G10" s="1" t="s">
        <v>445</v>
      </c>
      <c r="H10" s="1" t="s">
        <v>42</v>
      </c>
      <c r="I10" s="1"/>
      <c r="J10" s="9" t="s">
        <v>446</v>
      </c>
      <c r="K10" s="1" t="s">
        <v>44</v>
      </c>
      <c r="L10" s="9" t="s">
        <v>447</v>
      </c>
      <c r="M10" s="9" t="s">
        <v>448</v>
      </c>
      <c r="N10" s="1">
        <v>684024181</v>
      </c>
      <c r="O10" s="1" t="s">
        <v>99</v>
      </c>
      <c r="P10" s="1" t="s">
        <v>211</v>
      </c>
      <c r="Q10" s="1"/>
      <c r="R10" s="1"/>
      <c r="S10" s="9" t="s">
        <v>449</v>
      </c>
      <c r="T10" s="1" t="b">
        <v>0</v>
      </c>
      <c r="U10" s="1" t="b">
        <v>1</v>
      </c>
      <c r="V10" s="1" t="b">
        <v>1</v>
      </c>
      <c r="W10" s="1" t="b">
        <v>1</v>
      </c>
      <c r="X10" s="1" t="b">
        <v>0</v>
      </c>
      <c r="Y10" s="1" t="b">
        <v>0</v>
      </c>
      <c r="Z10" s="1" t="b">
        <v>1</v>
      </c>
      <c r="AA10" s="64" t="s">
        <v>51</v>
      </c>
    </row>
    <row r="11" spans="1:27" x14ac:dyDescent="0.25">
      <c r="A11" s="13" t="s">
        <v>450</v>
      </c>
      <c r="B11" s="1">
        <f t="shared" si="0"/>
        <v>10</v>
      </c>
      <c r="C11" s="1" t="s">
        <v>62</v>
      </c>
      <c r="D11" s="1" t="s">
        <v>391</v>
      </c>
      <c r="E11" s="1">
        <v>44137</v>
      </c>
      <c r="F11" s="1">
        <v>44177</v>
      </c>
      <c r="G11" s="1" t="s">
        <v>451</v>
      </c>
      <c r="H11" s="1" t="s">
        <v>54</v>
      </c>
      <c r="I11" s="1"/>
      <c r="J11" s="9" t="s">
        <v>452</v>
      </c>
      <c r="K11" s="1" t="s">
        <v>44</v>
      </c>
      <c r="L11" s="9" t="s">
        <v>453</v>
      </c>
      <c r="M11" s="9" t="s">
        <v>454</v>
      </c>
      <c r="N11" s="1">
        <v>639415020</v>
      </c>
      <c r="O11" s="1" t="s">
        <v>69</v>
      </c>
      <c r="P11" s="1" t="s">
        <v>455</v>
      </c>
      <c r="Q11" s="1" t="s">
        <v>260</v>
      </c>
      <c r="R11" s="1"/>
      <c r="S11" s="72" t="s">
        <v>456</v>
      </c>
      <c r="T11" s="1" t="b">
        <v>0</v>
      </c>
      <c r="U11" s="71" t="b">
        <v>1</v>
      </c>
      <c r="V11" s="1" t="b">
        <v>1</v>
      </c>
      <c r="W11" s="1" t="b">
        <v>1</v>
      </c>
      <c r="X11" s="1" t="b">
        <v>1</v>
      </c>
      <c r="Y11" s="1" t="b">
        <v>0</v>
      </c>
      <c r="Z11" s="1" t="b">
        <v>1</v>
      </c>
      <c r="AA11" s="64" t="s">
        <v>51</v>
      </c>
    </row>
    <row r="12" spans="1:27" x14ac:dyDescent="0.25">
      <c r="A12" s="13" t="s">
        <v>457</v>
      </c>
      <c r="B12" s="1">
        <f t="shared" si="0"/>
        <v>11</v>
      </c>
      <c r="C12" s="1" t="s">
        <v>39</v>
      </c>
      <c r="D12" s="1" t="s">
        <v>391</v>
      </c>
      <c r="E12" s="1">
        <v>45015</v>
      </c>
      <c r="F12" s="1">
        <v>45071</v>
      </c>
      <c r="G12" s="1" t="s">
        <v>458</v>
      </c>
      <c r="H12" s="1" t="s">
        <v>54</v>
      </c>
      <c r="I12" s="1"/>
      <c r="J12" s="9" t="s">
        <v>459</v>
      </c>
      <c r="K12" s="1" t="s">
        <v>44</v>
      </c>
      <c r="L12" s="9" t="s">
        <v>460</v>
      </c>
      <c r="M12" s="9" t="s">
        <v>461</v>
      </c>
      <c r="N12" s="1">
        <v>629773745</v>
      </c>
      <c r="O12" s="1" t="s">
        <v>99</v>
      </c>
      <c r="P12" s="1" t="s">
        <v>71</v>
      </c>
      <c r="Q12" s="1"/>
      <c r="R12" s="1"/>
      <c r="S12" s="72" t="s">
        <v>462</v>
      </c>
      <c r="T12" s="1" t="b">
        <v>0</v>
      </c>
      <c r="U12" s="71" t="b">
        <v>1</v>
      </c>
      <c r="V12" s="1" t="b">
        <v>1</v>
      </c>
      <c r="W12" s="1" t="b">
        <v>1</v>
      </c>
      <c r="X12" s="1" t="b">
        <v>1</v>
      </c>
      <c r="Y12" s="1" t="b">
        <v>0</v>
      </c>
      <c r="Z12" s="1" t="b">
        <v>1</v>
      </c>
      <c r="AA12" s="64" t="s">
        <v>51</v>
      </c>
    </row>
    <row r="13" spans="1:27" x14ac:dyDescent="0.25">
      <c r="A13" s="13" t="s">
        <v>463</v>
      </c>
      <c r="B13" s="1">
        <f t="shared" si="0"/>
        <v>12</v>
      </c>
      <c r="C13" s="1" t="s">
        <v>39</v>
      </c>
      <c r="D13" s="1" t="s">
        <v>391</v>
      </c>
      <c r="E13" s="1">
        <v>44137</v>
      </c>
      <c r="F13" s="1">
        <v>44177</v>
      </c>
      <c r="G13" s="1" t="s">
        <v>464</v>
      </c>
      <c r="H13" s="1" t="s">
        <v>54</v>
      </c>
      <c r="I13" s="1"/>
      <c r="J13" s="9" t="s">
        <v>465</v>
      </c>
      <c r="K13" s="1" t="s">
        <v>44</v>
      </c>
      <c r="L13" s="9" t="s">
        <v>466</v>
      </c>
      <c r="M13" s="9" t="s">
        <v>467</v>
      </c>
      <c r="N13" s="1">
        <v>688877519</v>
      </c>
      <c r="O13" s="1" t="s">
        <v>99</v>
      </c>
      <c r="P13" s="1" t="s">
        <v>121</v>
      </c>
      <c r="Q13" s="1" t="s">
        <v>71</v>
      </c>
      <c r="R13" s="1" t="b">
        <v>0</v>
      </c>
      <c r="S13" s="72" t="s">
        <v>468</v>
      </c>
      <c r="T13" s="1" t="b">
        <v>0</v>
      </c>
      <c r="U13" s="71" t="b">
        <v>1</v>
      </c>
      <c r="V13" s="1" t="b">
        <v>1</v>
      </c>
      <c r="W13" s="1" t="b">
        <v>1</v>
      </c>
      <c r="X13" s="1" t="b">
        <v>1</v>
      </c>
      <c r="Y13" s="1" t="b">
        <v>0</v>
      </c>
      <c r="Z13" s="1" t="b">
        <v>1</v>
      </c>
      <c r="AA13" s="64" t="s">
        <v>51</v>
      </c>
    </row>
    <row r="14" spans="1:27" s="65" customFormat="1" x14ac:dyDescent="0.25">
      <c r="A14" s="66" t="s">
        <v>469</v>
      </c>
      <c r="B14" s="64">
        <v>45</v>
      </c>
      <c r="C14" s="64" t="s">
        <v>62</v>
      </c>
      <c r="D14" s="1" t="s">
        <v>391</v>
      </c>
      <c r="E14" s="67">
        <v>45596</v>
      </c>
      <c r="F14" s="67">
        <v>45631</v>
      </c>
      <c r="G14" s="64" t="s">
        <v>470</v>
      </c>
      <c r="H14" s="64" t="s">
        <v>54</v>
      </c>
      <c r="I14" s="64"/>
      <c r="J14" s="70" t="s">
        <v>471</v>
      </c>
      <c r="K14" s="64" t="s">
        <v>44</v>
      </c>
      <c r="L14" s="70" t="s">
        <v>472</v>
      </c>
      <c r="M14" s="70" t="s">
        <v>473</v>
      </c>
      <c r="N14" s="64">
        <v>608561983</v>
      </c>
      <c r="O14" s="64" t="s">
        <v>69</v>
      </c>
      <c r="P14" s="64" t="s">
        <v>425</v>
      </c>
      <c r="Q14" s="64" t="s">
        <v>474</v>
      </c>
      <c r="R14" s="64" t="b">
        <v>0</v>
      </c>
      <c r="S14" s="72" t="s">
        <v>475</v>
      </c>
      <c r="T14" s="1" t="b">
        <v>0</v>
      </c>
      <c r="U14" s="64" t="b">
        <v>1</v>
      </c>
      <c r="V14" s="64" t="b">
        <v>0</v>
      </c>
      <c r="W14" s="64" t="b">
        <v>1</v>
      </c>
      <c r="X14" s="64" t="b">
        <v>0</v>
      </c>
      <c r="Y14" s="64" t="b">
        <v>0</v>
      </c>
      <c r="Z14" s="1" t="b">
        <v>1</v>
      </c>
      <c r="AA14" s="64" t="s">
        <v>51</v>
      </c>
    </row>
  </sheetData>
  <conditionalFormatting sqref="E14:H14 B14:C14 J14:P14">
    <cfRule type="containsBlanks" dxfId="63" priority="14">
      <formula>LEN(TRIM(B14))=0</formula>
    </cfRule>
  </conditionalFormatting>
  <conditionalFormatting sqref="H14">
    <cfRule type="cellIs" dxfId="62" priority="7" operator="equal">
      <formula>"Aerostructure"</formula>
    </cfRule>
    <cfRule type="cellIs" dxfId="61" priority="9" operator="equal">
      <formula>"Structure"</formula>
    </cfRule>
    <cfRule type="cellIs" dxfId="60" priority="10" operator="equal">
      <formula>"Aerodynamics &amp; Recovery"</formula>
    </cfRule>
    <cfRule type="cellIs" dxfId="59" priority="11" operator="equal">
      <formula>"Flight Control &amp; Simulation"</formula>
    </cfRule>
    <cfRule type="cellIs" dxfId="58" priority="12" operator="equal">
      <formula>"Avionics"</formula>
    </cfRule>
  </conditionalFormatting>
  <conditionalFormatting sqref="H14:I14">
    <cfRule type="cellIs" dxfId="57" priority="4" operator="equal">
      <formula>"Simulation"</formula>
    </cfRule>
    <cfRule type="cellIs" dxfId="56" priority="5" operator="equal">
      <formula>"Recovery"</formula>
    </cfRule>
    <cfRule type="cellIs" dxfId="55" priority="6" operator="equal">
      <formula>"Structures &amp; Fabrication"</formula>
    </cfRule>
    <cfRule type="cellIs" dxfId="54" priority="8" operator="equal">
      <formula>"Flight Control"</formula>
    </cfRule>
    <cfRule type="cellIs" dxfId="53" priority="13" operator="equal">
      <formula>"Business &amp; Management"</formula>
    </cfRule>
    <cfRule type="cellIs" dxfId="52" priority="22" operator="equal">
      <formula>"Aerodynamics &amp; Recovery"</formula>
    </cfRule>
    <cfRule type="cellIs" dxfId="51" priority="23" operator="equal">
      <formula>"Structure"</formula>
    </cfRule>
    <cfRule type="cellIs" dxfId="50" priority="24" operator="equal">
      <formula>"Flight Control &amp; Simulation"</formula>
    </cfRule>
    <cfRule type="cellIs" dxfId="49" priority="25" operator="equal">
      <formula>"Avionics"</formula>
    </cfRule>
    <cfRule type="cellIs" dxfId="48" priority="26" operator="equal">
      <formula>"Propulsion"</formula>
    </cfRule>
    <cfRule type="cellIs" dxfId="47" priority="27" operator="equal">
      <formula>"Business &amp; Management"</formula>
    </cfRule>
  </conditionalFormatting>
  <conditionalFormatting sqref="P3">
    <cfRule type="containsBlanks" dxfId="46" priority="3">
      <formula>LEN(TRIM(P3))=0</formula>
    </cfRule>
  </conditionalFormatting>
  <conditionalFormatting sqref="R1:R14">
    <cfRule type="cellIs" dxfId="45" priority="30" operator="equal">
      <formula>FALSE</formula>
    </cfRule>
    <cfRule type="cellIs" dxfId="44" priority="31" operator="equal">
      <formula>TRUE</formula>
    </cfRule>
  </conditionalFormatting>
  <conditionalFormatting sqref="T2:Y14">
    <cfRule type="cellIs" dxfId="43" priority="28" operator="equal">
      <formula>FALSE</formula>
    </cfRule>
    <cfRule type="cellIs" dxfId="42" priority="29" operator="equal">
      <formula>TRUE</formula>
    </cfRule>
  </conditionalFormatting>
  <conditionalFormatting sqref="T1:Z1">
    <cfRule type="cellIs" dxfId="41" priority="219" operator="equal">
      <formula>FALSE</formula>
    </cfRule>
    <cfRule type="cellIs" dxfId="40" priority="220" operator="equal">
      <formula>TRUE</formula>
    </cfRule>
  </conditionalFormatting>
  <conditionalFormatting sqref="Z2:Z14">
    <cfRule type="cellIs" dxfId="39" priority="1" operator="equal">
      <formula>TRUE</formula>
    </cfRule>
    <cfRule type="cellIs" dxfId="38" priority="2" operator="equal">
      <formula>FALSE</formula>
    </cfRule>
  </conditionalFormatting>
  <dataValidations count="9">
    <dataValidation type="list" allowBlank="1" showInputMessage="1" showErrorMessage="1" sqref="T2:Y7 Z2:Z14" xr:uid="{2CC23A71-75A6-4354-AEB8-5B79A3E5E905}">
      <formula1>"VERDADERO, FALSO"</formula1>
    </dataValidation>
    <dataValidation type="list" operator="equal" allowBlank="1" showInputMessage="1" showErrorMessage="1" sqref="H8:I14" xr:uid="{4BC036B9-3DB1-428E-A24E-98A7A88F2D8F}">
      <formula1>"Avionics, Flight Control, Simulation, Structures &amp; Fabrication, Aerostructure, Recovery, Propulsion, Business &amp; Management"</formula1>
    </dataValidation>
    <dataValidation type="list" allowBlank="1" showInputMessage="1" showErrorMessage="1" errorTitle="Calavera" error="Por favor, introduce un valor de titulo que sea verdad" sqref="AA2:AA14" xr:uid="{F41918DB-40EC-4104-B750-A0B552E62CE3}">
      <formula1>"Chief / Project Manager, Discord Admin, Fase Pruebas, Chief, Miembro, Project Manager, Technical, Sin Rol"</formula1>
    </dataValidation>
    <dataValidation type="list" allowBlank="1" showInputMessage="1" showErrorMessage="1" errorTitle="Calavera" error="Solo puedes introducir: &quot;VERDADERO&quot; o &quot;FALSO&quot;" sqref="T8:Y14" xr:uid="{9CA4C421-765C-442A-AA79-B73B83A42823}">
      <formula1>"VERDADERO, FALSO"</formula1>
    </dataValidation>
    <dataValidation type="list" allowBlank="1" showInputMessage="1" showErrorMessage="1" errorTitle="Calavera" error="Solo permite &quot;VERDADERO&quot; o &quot;FALSO&quot;" sqref="R2:R14" xr:uid="{31BCBEF5-D541-40CF-B31A-08A442DE9796}">
      <formula1>"VERDADERO, FALSO"</formula1>
    </dataValidation>
    <dataValidation type="list" allowBlank="1" showInputMessage="1" showErrorMessage="1" errorTitle="Calavera" error="Markel, no todo el mundo puede ser hombre" sqref="C8:C14" xr:uid="{BA5A120B-2EB8-406F-84C4-B1985977BC77}">
      <formula1>"Mujer, Hombre, Otro"</formula1>
    </dataValidation>
    <dataValidation type="list" allowBlank="1" showInputMessage="1" showErrorMessage="1" sqref="O8:O10 O12 O14" xr:uid="{24A4F746-454E-4D3A-82B1-C8F80B3B7FC1}">
      <formula1>"GRADO, MÁSTER, DOCTORADO"</formula1>
    </dataValidation>
    <dataValidation type="list" allowBlank="1" showInputMessage="1" showErrorMessage="1" errorTitle="Calavera" error="Markel, solo puedes poner:_x000a_GRADO, MÁSTER o DOCTORADO" sqref="O11" xr:uid="{E219CE31-A9B9-43EE-8AD6-E89958424AE8}">
      <formula1>"GRADO, MÁSTER, DOCTORADO"</formula1>
    </dataValidation>
    <dataValidation type="list" allowBlank="1" showInputMessage="1" showErrorMessage="1" errorTitle="Calavera" error="Markel, por favor mete los datos bien. _x000a_Solo puedes poner GRADO, MÁSTER o DOCTORADO" sqref="O13" xr:uid="{24B84559-9F55-4B07-A9DF-1967E3F9F513}">
      <formula1>"GRADO, MÁSTER, DOCTORADO"</formula1>
    </dataValidation>
  </dataValidations>
  <hyperlinks>
    <hyperlink ref="S7" r:id="rId1" xr:uid="{330ABD79-B59E-40E5-BCE5-B8ED60C0D42C}"/>
    <hyperlink ref="M7" r:id="rId2" xr:uid="{6877BFB7-0FEF-4D3D-9851-EE134852DC46}"/>
    <hyperlink ref="M8" r:id="rId3" xr:uid="{1147FA70-5169-48BC-99B0-6ABF88D822C3}"/>
    <hyperlink ref="L8" r:id="rId4" xr:uid="{E7388B2F-E339-4B08-B9F9-825A56AB9472}"/>
    <hyperlink ref="J8" r:id="rId5" xr:uid="{5D206226-BF58-4AE9-A9B8-C573AD515A3A}"/>
    <hyperlink ref="J9" r:id="rId6" xr:uid="{2A45576F-BE8C-422C-A6FB-23F157625DDF}"/>
    <hyperlink ref="L9" r:id="rId7" xr:uid="{E25A9472-3001-4AD3-82BB-7A02B151958A}"/>
    <hyperlink ref="M9" r:id="rId8" xr:uid="{E49D1E80-0D70-41FA-A320-FE0AAE2661F4}"/>
    <hyperlink ref="J10" r:id="rId9" xr:uid="{CAC4CEF8-EBBE-4FC4-8305-970F6BE33C8E}"/>
    <hyperlink ref="L10" r:id="rId10" xr:uid="{7B4E16F4-C955-4601-8CD9-6069F0045EEE}"/>
    <hyperlink ref="M10" r:id="rId11" xr:uid="{E5BA201E-E062-48DF-A1E1-805C6DA89FA4}"/>
    <hyperlink ref="L14" r:id="rId12" xr:uid="{ADAEEE76-9B78-4DAC-BF66-74403299E285}"/>
    <hyperlink ref="J14" r:id="rId13" xr:uid="{09DCFC59-75A1-4A64-A483-0FA63AA5C869}"/>
    <hyperlink ref="M14" r:id="rId14" xr:uid="{2493BB5C-4283-42B2-8F09-F0F8530943D2}"/>
    <hyperlink ref="M13" r:id="rId15" xr:uid="{B302AC98-B91D-4284-9A30-CC258A21F206}"/>
    <hyperlink ref="L13" r:id="rId16" xr:uid="{F527944D-1975-4C3B-A073-3B89B8730F4C}"/>
    <hyperlink ref="J13" r:id="rId17" xr:uid="{5A0DA734-C32E-4537-9A1C-D4568F008882}"/>
    <hyperlink ref="M12" r:id="rId18" xr:uid="{2A2347CA-74F5-4BD5-BACB-8C667FD1FF72}"/>
    <hyperlink ref="L12" r:id="rId19" xr:uid="{80E6DE2E-AF46-4B31-8EFA-FECDB226F864}"/>
    <hyperlink ref="J12" r:id="rId20" xr:uid="{B6602731-B9A1-432F-8E63-6A659466C03B}"/>
    <hyperlink ref="M11" r:id="rId21" xr:uid="{67220449-3D4B-45EB-959D-3C0A7A5A2D66}"/>
    <hyperlink ref="L11" r:id="rId22" xr:uid="{B0B6CCF8-461B-4DB5-8AF4-F2B77F48336C}"/>
    <hyperlink ref="J11" r:id="rId23" xr:uid="{ADCA6CA2-5DA2-4494-A279-3F556B8204CB}"/>
    <hyperlink ref="J2:J14" r:id="rId24" display="martaguinea01@gmail.com" xr:uid="{E710D654-7446-4336-B33E-A283857B7B56}"/>
    <hyperlink ref="L2:L14" r:id="rId25" display="FALTA" xr:uid="{7E155300-A7A7-40B6-9F9F-AFE175D714AA}"/>
    <hyperlink ref="M2:M14" r:id="rId26" display="mguinea@biskyteam.com" xr:uid="{74740219-4662-48FC-8811-9EC4695CF3B1}"/>
    <hyperlink ref="S11" r:id="rId27" xr:uid="{4CAD0D2D-F99A-4E4C-B0D6-46EE0E497784}"/>
    <hyperlink ref="S12" r:id="rId28" xr:uid="{0955E4F7-F721-4054-9881-92B685727607}"/>
    <hyperlink ref="S13" r:id="rId29" xr:uid="{69DBA686-E423-4C1A-802D-14204714900E}"/>
    <hyperlink ref="S14" r:id="rId30" xr:uid="{BD358FD9-A531-4FAC-B263-8DAFA82B1170}"/>
    <hyperlink ref="S2" r:id="rId31" xr:uid="{37682E89-AE4B-472A-9833-2C9F1E19C504}"/>
    <hyperlink ref="S3" r:id="rId32" xr:uid="{56DBA4EA-25D9-4EB7-AA30-4EB6C8BC8092}"/>
    <hyperlink ref="S8" r:id="rId33" xr:uid="{2B78AE9D-9A72-44D4-94D8-670E8C1F6A81}"/>
    <hyperlink ref="S9" r:id="rId34" xr:uid="{057180F0-5605-42B0-A868-1F7CB066DEFD}"/>
    <hyperlink ref="S10" r:id="rId35" xr:uid="{E8DB1B17-263A-4E48-893F-D64BDAA20940}"/>
    <hyperlink ref="M3" r:id="rId36" xr:uid="{EF0A1ED7-9D5D-4120-A2F4-36141D042037}"/>
  </hyperlinks>
  <pageMargins left="0.7" right="0.7" top="0.75" bottom="0.75" header="0.3" footer="0.3"/>
  <tableParts count="1"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BF1C-A24E-4446-AA8D-AC6CB45EA2E0}">
  <dimension ref="A1:BX21"/>
  <sheetViews>
    <sheetView workbookViewId="0">
      <selection activeCell="E19" sqref="E19"/>
    </sheetView>
  </sheetViews>
  <sheetFormatPr baseColWidth="10" defaultColWidth="11.42578125" defaultRowHeight="15" x14ac:dyDescent="0.25"/>
  <cols>
    <col min="1" max="1" width="19.5703125" bestFit="1" customWidth="1"/>
    <col min="2" max="2" width="3.42578125" bestFit="1" customWidth="1"/>
    <col min="3" max="3" width="34.28515625" customWidth="1"/>
    <col min="4" max="4" width="19" bestFit="1" customWidth="1"/>
    <col min="5" max="5" width="10.7109375" bestFit="1" customWidth="1"/>
    <col min="6" max="6" width="17" bestFit="1" customWidth="1"/>
    <col min="7" max="7" width="25.140625" bestFit="1" customWidth="1"/>
    <col min="8" max="8" width="17.7109375" bestFit="1" customWidth="1"/>
    <col min="9" max="10" width="18.7109375" bestFit="1" customWidth="1"/>
    <col min="11" max="11" width="16.7109375" bestFit="1" customWidth="1"/>
    <col min="12" max="12" width="15.5703125" bestFit="1" customWidth="1"/>
    <col min="13" max="13" width="18.7109375" bestFit="1" customWidth="1"/>
    <col min="14" max="14" width="20" bestFit="1" customWidth="1"/>
    <col min="15" max="15" width="22.7109375" bestFit="1" customWidth="1"/>
    <col min="16" max="16" width="18.7109375" bestFit="1" customWidth="1"/>
    <col min="17" max="17" width="10.28515625" bestFit="1" customWidth="1"/>
    <col min="18" max="18" width="17.7109375" bestFit="1" customWidth="1"/>
    <col min="19" max="19" width="18.28515625" bestFit="1" customWidth="1"/>
    <col min="20" max="20" width="23.28515625" bestFit="1" customWidth="1"/>
    <col min="21" max="21" width="13.28515625" bestFit="1" customWidth="1"/>
    <col min="22" max="22" width="26.28515625" bestFit="1" customWidth="1"/>
    <col min="23" max="23" width="14.28515625" bestFit="1" customWidth="1"/>
    <col min="24" max="24" width="23.7109375" bestFit="1" customWidth="1"/>
    <col min="25" max="25" width="17.7109375" bestFit="1" customWidth="1"/>
    <col min="26" max="26" width="24" bestFit="1" customWidth="1"/>
    <col min="27" max="27" width="17.28515625" bestFit="1" customWidth="1"/>
    <col min="28" max="28" width="21.5703125" bestFit="1" customWidth="1"/>
    <col min="29" max="29" width="22.28515625" bestFit="1" customWidth="1"/>
    <col min="30" max="30" width="18.7109375" bestFit="1" customWidth="1"/>
    <col min="31" max="31" width="22.28515625" bestFit="1" customWidth="1"/>
    <col min="32" max="32" width="20.7109375" bestFit="1" customWidth="1"/>
    <col min="33" max="33" width="17.7109375" bestFit="1" customWidth="1"/>
    <col min="34" max="34" width="14.5703125" bestFit="1" customWidth="1"/>
    <col min="35" max="35" width="30.28515625" bestFit="1" customWidth="1"/>
    <col min="36" max="36" width="20.42578125" bestFit="1" customWidth="1"/>
    <col min="37" max="37" width="26.7109375" bestFit="1" customWidth="1"/>
    <col min="38" max="38" width="23.7109375" bestFit="1" customWidth="1"/>
    <col min="39" max="39" width="17.7109375" bestFit="1" customWidth="1"/>
    <col min="40" max="40" width="9.5703125" bestFit="1" customWidth="1"/>
    <col min="41" max="41" width="20.7109375" bestFit="1" customWidth="1"/>
    <col min="42" max="42" width="15.42578125" bestFit="1" customWidth="1"/>
    <col min="43" max="43" width="18.28515625" bestFit="1" customWidth="1"/>
    <col min="44" max="44" width="15.7109375" bestFit="1" customWidth="1"/>
    <col min="45" max="45" width="20.28515625" bestFit="1" customWidth="1"/>
    <col min="46" max="46" width="26.7109375" bestFit="1" customWidth="1"/>
    <col min="47" max="47" width="25.7109375" bestFit="1" customWidth="1"/>
    <col min="48" max="48" width="17.28515625" bestFit="1" customWidth="1"/>
    <col min="49" max="49" width="25.28515625" bestFit="1" customWidth="1"/>
    <col min="50" max="50" width="12.7109375" bestFit="1" customWidth="1"/>
    <col min="51" max="51" width="19.28515625" bestFit="1" customWidth="1"/>
    <col min="52" max="52" width="17.7109375" bestFit="1" customWidth="1"/>
    <col min="53" max="53" width="19.7109375" bestFit="1" customWidth="1"/>
    <col min="54" max="54" width="24.28515625" bestFit="1" customWidth="1"/>
    <col min="55" max="55" width="18.28515625" bestFit="1" customWidth="1"/>
    <col min="56" max="56" width="11" bestFit="1" customWidth="1"/>
    <col min="57" max="57" width="19.28515625" bestFit="1" customWidth="1"/>
    <col min="58" max="58" width="24.5703125" bestFit="1" customWidth="1"/>
    <col min="59" max="59" width="24.7109375" bestFit="1" customWidth="1"/>
    <col min="60" max="60" width="30.28515625" bestFit="1" customWidth="1"/>
    <col min="61" max="61" width="18" bestFit="1" customWidth="1"/>
    <col min="62" max="62" width="20.7109375" bestFit="1" customWidth="1"/>
    <col min="63" max="63" width="24.7109375" bestFit="1" customWidth="1"/>
    <col min="64" max="64" width="25.7109375" bestFit="1" customWidth="1"/>
    <col min="65" max="65" width="18.28515625" bestFit="1" customWidth="1"/>
    <col min="66" max="66" width="19.28515625" bestFit="1" customWidth="1"/>
    <col min="67" max="67" width="17.28515625" bestFit="1" customWidth="1"/>
    <col min="68" max="68" width="16.7109375" bestFit="1" customWidth="1"/>
    <col min="69" max="69" width="21.42578125" bestFit="1" customWidth="1"/>
    <col min="70" max="70" width="22.28515625" bestFit="1" customWidth="1"/>
    <col min="71" max="71" width="21.7109375" bestFit="1" customWidth="1"/>
    <col min="72" max="72" width="19.28515625" bestFit="1" customWidth="1"/>
    <col min="73" max="73" width="11.7109375" bestFit="1" customWidth="1"/>
    <col min="74" max="74" width="19.28515625" bestFit="1" customWidth="1"/>
    <col min="75" max="75" width="9.28515625" bestFit="1" customWidth="1"/>
    <col min="76" max="76" width="11.7109375" bestFit="1" customWidth="1"/>
  </cols>
  <sheetData>
    <row r="1" spans="1:76" s="11" customFormat="1" x14ac:dyDescent="0.25">
      <c r="A1"/>
      <c r="B1"/>
      <c r="D1" s="6" t="s">
        <v>15</v>
      </c>
      <c r="E1" t="s">
        <v>476</v>
      </c>
    </row>
    <row r="3" spans="1:76" s="11" customFormat="1" x14ac:dyDescent="0.25">
      <c r="A3" s="12" t="s">
        <v>477</v>
      </c>
      <c r="B3" s="11" t="s">
        <v>478</v>
      </c>
      <c r="C3"/>
      <c r="D3" s="12" t="s">
        <v>479</v>
      </c>
      <c r="E3" s="11" t="s">
        <v>478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</row>
    <row r="4" spans="1:76" x14ac:dyDescent="0.25">
      <c r="A4" s="7" t="s">
        <v>143</v>
      </c>
      <c r="B4">
        <v>8</v>
      </c>
      <c r="D4" s="7" t="s">
        <v>39</v>
      </c>
      <c r="E4">
        <v>36</v>
      </c>
    </row>
    <row r="5" spans="1:76" x14ac:dyDescent="0.25">
      <c r="A5" s="7" t="s">
        <v>75</v>
      </c>
      <c r="B5">
        <v>1</v>
      </c>
      <c r="D5" s="7" t="s">
        <v>62</v>
      </c>
      <c r="E5">
        <v>15</v>
      </c>
    </row>
    <row r="6" spans="1:76" x14ac:dyDescent="0.25">
      <c r="A6" s="7" t="s">
        <v>85</v>
      </c>
      <c r="B6">
        <v>19</v>
      </c>
      <c r="D6" s="7" t="s">
        <v>480</v>
      </c>
      <c r="E6">
        <v>51</v>
      </c>
    </row>
    <row r="7" spans="1:76" x14ac:dyDescent="0.25">
      <c r="A7" s="7" t="s">
        <v>116</v>
      </c>
      <c r="B7">
        <v>4</v>
      </c>
    </row>
    <row r="8" spans="1:76" x14ac:dyDescent="0.25">
      <c r="A8" s="7" t="s">
        <v>63</v>
      </c>
      <c r="B8">
        <v>1</v>
      </c>
    </row>
    <row r="9" spans="1:76" x14ac:dyDescent="0.25">
      <c r="A9" s="7" t="s">
        <v>40</v>
      </c>
      <c r="B9">
        <v>18</v>
      </c>
    </row>
    <row r="10" spans="1:76" x14ac:dyDescent="0.25">
      <c r="A10" s="7" t="s">
        <v>480</v>
      </c>
      <c r="B10">
        <v>51</v>
      </c>
      <c r="G10" s="33">
        <f>23/70</f>
        <v>0.32857142857142857</v>
      </c>
      <c r="H10" s="33">
        <f>G10+G11</f>
        <v>0.47142857142857142</v>
      </c>
    </row>
    <row r="11" spans="1:76" x14ac:dyDescent="0.25">
      <c r="G11" s="33">
        <f>10/70</f>
        <v>0.14285714285714285</v>
      </c>
    </row>
    <row r="14" spans="1:76" x14ac:dyDescent="0.25">
      <c r="G14" s="6" t="s">
        <v>481</v>
      </c>
      <c r="H14" t="s">
        <v>482</v>
      </c>
    </row>
    <row r="15" spans="1:76" x14ac:dyDescent="0.25">
      <c r="G15" t="s">
        <v>42</v>
      </c>
      <c r="H15">
        <v>16</v>
      </c>
    </row>
    <row r="16" spans="1:76" x14ac:dyDescent="0.25">
      <c r="G16" t="s">
        <v>87</v>
      </c>
      <c r="H16">
        <v>14</v>
      </c>
    </row>
    <row r="17" spans="7:8" x14ac:dyDescent="0.25">
      <c r="G17" t="s">
        <v>407</v>
      </c>
      <c r="H17">
        <v>14</v>
      </c>
    </row>
    <row r="18" spans="7:8" x14ac:dyDescent="0.25">
      <c r="G18" t="s">
        <v>483</v>
      </c>
      <c r="H18">
        <v>11</v>
      </c>
    </row>
    <row r="19" spans="7:8" x14ac:dyDescent="0.25">
      <c r="G19" t="s">
        <v>421</v>
      </c>
      <c r="H19">
        <v>10</v>
      </c>
    </row>
    <row r="20" spans="7:8" x14ac:dyDescent="0.25">
      <c r="G20" t="s">
        <v>151</v>
      </c>
      <c r="H20">
        <v>6</v>
      </c>
    </row>
    <row r="21" spans="7:8" x14ac:dyDescent="0.25">
      <c r="G21" t="s">
        <v>480</v>
      </c>
      <c r="H21">
        <v>71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00BD-0327-43C2-B4D9-6403A88F5F91}">
  <dimension ref="C2:K9"/>
  <sheetViews>
    <sheetView workbookViewId="0">
      <selection activeCell="D7" sqref="D7"/>
    </sheetView>
  </sheetViews>
  <sheetFormatPr baseColWidth="10" defaultColWidth="11.42578125" defaultRowHeight="15" x14ac:dyDescent="0.25"/>
  <cols>
    <col min="2" max="2" width="17.42578125" bestFit="1" customWidth="1"/>
    <col min="3" max="3" width="19" bestFit="1" customWidth="1"/>
    <col min="4" max="4" width="10.7109375" bestFit="1" customWidth="1"/>
    <col min="6" max="6" width="13.5703125" customWidth="1"/>
    <col min="10" max="10" width="17.42578125" bestFit="1" customWidth="1"/>
    <col min="11" max="11" width="3.42578125" bestFit="1" customWidth="1"/>
  </cols>
  <sheetData>
    <row r="2" spans="3:11" x14ac:dyDescent="0.25">
      <c r="C2" s="6" t="s">
        <v>15</v>
      </c>
      <c r="D2" t="s">
        <v>476</v>
      </c>
      <c r="J2" s="6" t="s">
        <v>477</v>
      </c>
      <c r="K2" t="s">
        <v>478</v>
      </c>
    </row>
    <row r="3" spans="3:11" x14ac:dyDescent="0.25">
      <c r="J3" s="7" t="s">
        <v>143</v>
      </c>
      <c r="K3">
        <v>8</v>
      </c>
    </row>
    <row r="4" spans="3:11" x14ac:dyDescent="0.25">
      <c r="C4" s="6" t="s">
        <v>479</v>
      </c>
      <c r="D4" t="s">
        <v>478</v>
      </c>
      <c r="J4" s="7" t="s">
        <v>75</v>
      </c>
      <c r="K4">
        <v>1</v>
      </c>
    </row>
    <row r="5" spans="3:11" x14ac:dyDescent="0.25">
      <c r="C5" s="7" t="s">
        <v>39</v>
      </c>
      <c r="D5">
        <v>36</v>
      </c>
      <c r="F5" s="23" t="s">
        <v>484</v>
      </c>
      <c r="J5" s="7" t="s">
        <v>85</v>
      </c>
      <c r="K5">
        <v>19</v>
      </c>
    </row>
    <row r="6" spans="3:11" x14ac:dyDescent="0.25">
      <c r="C6" s="7" t="s">
        <v>62</v>
      </c>
      <c r="D6">
        <v>15</v>
      </c>
      <c r="F6">
        <f>(D6/D7)*100</f>
        <v>29.411764705882355</v>
      </c>
      <c r="J6" s="7" t="s">
        <v>116</v>
      </c>
      <c r="K6">
        <v>4</v>
      </c>
    </row>
    <row r="7" spans="3:11" x14ac:dyDescent="0.25">
      <c r="C7" s="7" t="s">
        <v>480</v>
      </c>
      <c r="D7">
        <v>51</v>
      </c>
      <c r="J7" s="7" t="s">
        <v>63</v>
      </c>
      <c r="K7">
        <v>1</v>
      </c>
    </row>
    <row r="8" spans="3:11" x14ac:dyDescent="0.25">
      <c r="J8" s="7" t="s">
        <v>40</v>
      </c>
      <c r="K8">
        <v>18</v>
      </c>
    </row>
    <row r="9" spans="3:11" x14ac:dyDescent="0.25">
      <c r="J9" s="7" t="s">
        <v>480</v>
      </c>
      <c r="K9">
        <v>51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756D-6093-40B9-9791-AF5160327FD7}">
  <dimension ref="A1:AA128"/>
  <sheetViews>
    <sheetView zoomScale="85" zoomScaleNormal="85" workbookViewId="0">
      <pane ySplit="1" topLeftCell="A109" activePane="bottomLeft" state="frozen"/>
      <selection pane="bottomLeft" activeCell="U124" sqref="U124"/>
    </sheetView>
  </sheetViews>
  <sheetFormatPr baseColWidth="10" defaultColWidth="11.42578125" defaultRowHeight="15" x14ac:dyDescent="0.25"/>
  <cols>
    <col min="1" max="1" width="31.42578125" bestFit="1" customWidth="1"/>
    <col min="2" max="2" width="12.28515625" bestFit="1" customWidth="1"/>
    <col min="3" max="3" width="12.28515625" customWidth="1"/>
    <col min="4" max="4" width="22.28515625" bestFit="1" customWidth="1"/>
    <col min="5" max="5" width="24" bestFit="1" customWidth="1"/>
    <col min="6" max="6" width="32.28515625" bestFit="1" customWidth="1"/>
    <col min="7" max="7" width="27.28515625" customWidth="1"/>
    <col min="8" max="9" width="23.28515625" bestFit="1" customWidth="1"/>
    <col min="10" max="10" width="32.42578125" bestFit="1" customWidth="1"/>
    <col min="11" max="11" width="32.28515625" bestFit="1" customWidth="1"/>
    <col min="12" max="12" width="35.7109375" customWidth="1"/>
    <col min="13" max="13" width="30.7109375" bestFit="1" customWidth="1"/>
    <col min="14" max="14" width="29.42578125" customWidth="1"/>
    <col min="15" max="15" width="74.28515625" customWidth="1"/>
    <col min="16" max="16" width="42.140625" customWidth="1"/>
    <col min="17" max="17" width="119.42578125" customWidth="1"/>
    <col min="18" max="18" width="57.42578125" customWidth="1"/>
    <col min="19" max="19" width="81.28515625" bestFit="1" customWidth="1"/>
    <col min="20" max="20" width="80" bestFit="1" customWidth="1"/>
  </cols>
  <sheetData>
    <row r="1" spans="1:20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485</v>
      </c>
      <c r="H1" s="1" t="s">
        <v>18</v>
      </c>
      <c r="I1" s="1" t="s">
        <v>486</v>
      </c>
      <c r="J1" s="1" t="s">
        <v>487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27</v>
      </c>
      <c r="Q1" s="1" t="s">
        <v>488</v>
      </c>
      <c r="R1" s="1" t="s">
        <v>28</v>
      </c>
      <c r="S1" s="1" t="s">
        <v>489</v>
      </c>
      <c r="T1" s="1" t="s">
        <v>30</v>
      </c>
    </row>
    <row r="2" spans="1:20" x14ac:dyDescent="0.25">
      <c r="A2" s="1" t="s">
        <v>490</v>
      </c>
      <c r="B2" s="1">
        <v>1</v>
      </c>
      <c r="C2" s="1"/>
      <c r="D2" s="1"/>
      <c r="E2" s="1" t="s">
        <v>491</v>
      </c>
      <c r="F2" s="2">
        <v>43753</v>
      </c>
      <c r="G2" s="2"/>
      <c r="H2" s="1" t="s">
        <v>492</v>
      </c>
      <c r="I2" s="1" t="s">
        <v>151</v>
      </c>
      <c r="J2" s="1" t="s">
        <v>63</v>
      </c>
      <c r="K2" s="1"/>
      <c r="L2" s="1" t="s">
        <v>493</v>
      </c>
      <c r="M2" s="1"/>
      <c r="N2" s="1" t="s">
        <v>494</v>
      </c>
      <c r="O2" s="1" t="s">
        <v>495</v>
      </c>
      <c r="P2" s="1" t="s">
        <v>496</v>
      </c>
      <c r="Q2" s="1"/>
      <c r="R2" s="1"/>
      <c r="S2" s="1" t="s">
        <v>497</v>
      </c>
      <c r="T2" s="1"/>
    </row>
    <row r="3" spans="1:20" x14ac:dyDescent="0.25">
      <c r="A3" s="1" t="s">
        <v>498</v>
      </c>
      <c r="B3" s="1">
        <f t="shared" ref="B3:B34" si="0">B2+1</f>
        <v>2</v>
      </c>
      <c r="C3" s="1"/>
      <c r="D3" s="1"/>
      <c r="E3" s="1" t="s">
        <v>491</v>
      </c>
      <c r="F3" s="2">
        <v>43800</v>
      </c>
      <c r="G3" s="2"/>
      <c r="H3" s="1" t="s">
        <v>499</v>
      </c>
      <c r="I3" s="1" t="s">
        <v>42</v>
      </c>
      <c r="J3" s="1" t="s">
        <v>393</v>
      </c>
      <c r="K3" s="1"/>
      <c r="L3" s="1" t="s">
        <v>500</v>
      </c>
      <c r="M3" s="1"/>
      <c r="N3" s="1" t="s">
        <v>501</v>
      </c>
      <c r="O3" s="1" t="s">
        <v>502</v>
      </c>
      <c r="P3" s="1" t="s">
        <v>503</v>
      </c>
      <c r="Q3" s="1"/>
      <c r="R3" s="1"/>
      <c r="S3" s="1" t="s">
        <v>504</v>
      </c>
      <c r="T3" s="1"/>
    </row>
    <row r="4" spans="1:20" x14ac:dyDescent="0.25">
      <c r="A4" s="1" t="s">
        <v>505</v>
      </c>
      <c r="B4" s="1">
        <f t="shared" si="0"/>
        <v>3</v>
      </c>
      <c r="C4" s="1"/>
      <c r="D4" s="1"/>
      <c r="E4" s="2">
        <v>43141</v>
      </c>
      <c r="F4" s="2">
        <v>43860</v>
      </c>
      <c r="G4" s="2"/>
      <c r="H4" s="1" t="s">
        <v>506</v>
      </c>
      <c r="I4" s="1" t="s">
        <v>151</v>
      </c>
      <c r="J4" s="1" t="s">
        <v>393</v>
      </c>
      <c r="K4" s="1"/>
      <c r="L4" s="1" t="s">
        <v>507</v>
      </c>
      <c r="M4" s="1"/>
      <c r="N4" s="1" t="s">
        <v>508</v>
      </c>
      <c r="O4" s="1">
        <v>664251262</v>
      </c>
      <c r="P4" s="1" t="s">
        <v>509</v>
      </c>
      <c r="Q4" s="1"/>
      <c r="R4" s="1"/>
      <c r="S4" s="1"/>
      <c r="T4" s="1" t="s">
        <v>510</v>
      </c>
    </row>
    <row r="5" spans="1:20" x14ac:dyDescent="0.25">
      <c r="A5" s="1" t="s">
        <v>511</v>
      </c>
      <c r="B5" s="1">
        <f t="shared" si="0"/>
        <v>4</v>
      </c>
      <c r="C5" s="1"/>
      <c r="D5" s="1"/>
      <c r="E5" s="1" t="s">
        <v>491</v>
      </c>
      <c r="F5" s="2">
        <v>43870</v>
      </c>
      <c r="G5" s="2"/>
      <c r="H5" s="1" t="s">
        <v>512</v>
      </c>
      <c r="I5" s="1" t="s">
        <v>483</v>
      </c>
      <c r="J5" s="1" t="s">
        <v>393</v>
      </c>
      <c r="K5" s="1" t="s">
        <v>513</v>
      </c>
      <c r="L5" s="1" t="s">
        <v>514</v>
      </c>
      <c r="M5" s="1"/>
      <c r="N5" s="1" t="s">
        <v>515</v>
      </c>
      <c r="O5" s="1" t="s">
        <v>516</v>
      </c>
      <c r="P5" s="1" t="s">
        <v>517</v>
      </c>
      <c r="Q5" s="1"/>
      <c r="R5" s="1"/>
      <c r="S5" s="1"/>
      <c r="T5" s="1"/>
    </row>
    <row r="6" spans="1:20" x14ac:dyDescent="0.25">
      <c r="A6" s="1" t="s">
        <v>518</v>
      </c>
      <c r="B6" s="1">
        <f t="shared" si="0"/>
        <v>5</v>
      </c>
      <c r="C6" s="1"/>
      <c r="D6" s="1"/>
      <c r="E6" s="1"/>
      <c r="F6" s="1"/>
      <c r="G6" s="1"/>
      <c r="H6" s="1"/>
      <c r="I6" s="1" t="s">
        <v>87</v>
      </c>
      <c r="J6" s="1" t="s">
        <v>393</v>
      </c>
      <c r="K6" s="1"/>
      <c r="L6" s="1"/>
      <c r="M6" s="1"/>
      <c r="N6" s="1" t="s">
        <v>519</v>
      </c>
      <c r="O6" s="1"/>
      <c r="P6" s="1" t="s">
        <v>520</v>
      </c>
      <c r="Q6" s="1"/>
      <c r="R6" s="1"/>
      <c r="S6" s="1" t="s">
        <v>521</v>
      </c>
      <c r="T6" s="1"/>
    </row>
    <row r="7" spans="1:20" x14ac:dyDescent="0.25">
      <c r="A7" s="1" t="s">
        <v>522</v>
      </c>
      <c r="B7" s="1">
        <f t="shared" si="0"/>
        <v>6</v>
      </c>
      <c r="C7" s="1"/>
      <c r="D7" s="1"/>
      <c r="E7" s="1"/>
      <c r="F7" s="1"/>
      <c r="G7" s="1"/>
      <c r="H7" s="1"/>
      <c r="I7" s="1" t="s">
        <v>87</v>
      </c>
      <c r="J7" s="1" t="s">
        <v>393</v>
      </c>
      <c r="K7" s="1" t="s">
        <v>523</v>
      </c>
      <c r="L7" s="1"/>
      <c r="M7" s="1"/>
      <c r="N7" s="1" t="s">
        <v>524</v>
      </c>
      <c r="O7" s="1"/>
      <c r="P7" s="1" t="s">
        <v>525</v>
      </c>
      <c r="Q7" s="1"/>
      <c r="R7" s="1"/>
      <c r="S7" s="1"/>
      <c r="T7" s="1"/>
    </row>
    <row r="8" spans="1:20" x14ac:dyDescent="0.25">
      <c r="A8" s="1" t="s">
        <v>526</v>
      </c>
      <c r="B8" s="1">
        <f t="shared" si="0"/>
        <v>7</v>
      </c>
      <c r="C8" s="1"/>
      <c r="D8" s="1"/>
      <c r="E8" s="1" t="s">
        <v>491</v>
      </c>
      <c r="F8" s="2">
        <v>43709</v>
      </c>
      <c r="G8" s="2"/>
      <c r="H8" s="1"/>
      <c r="I8" s="1" t="s">
        <v>42</v>
      </c>
      <c r="J8" s="1" t="s">
        <v>393</v>
      </c>
      <c r="K8" s="1"/>
      <c r="L8" s="1"/>
      <c r="M8" s="1"/>
      <c r="N8" s="1" t="s">
        <v>527</v>
      </c>
      <c r="O8" s="1"/>
      <c r="P8" s="1" t="s">
        <v>528</v>
      </c>
      <c r="Q8" s="1"/>
      <c r="R8" s="1"/>
      <c r="S8" s="1" t="s">
        <v>529</v>
      </c>
      <c r="T8" s="1"/>
    </row>
    <row r="9" spans="1:20" x14ac:dyDescent="0.25">
      <c r="A9" s="1" t="s">
        <v>530</v>
      </c>
      <c r="B9" s="1">
        <f t="shared" si="0"/>
        <v>8</v>
      </c>
      <c r="C9" s="1"/>
      <c r="D9" s="1"/>
      <c r="E9" s="1" t="s">
        <v>491</v>
      </c>
      <c r="F9" s="2">
        <v>43892</v>
      </c>
      <c r="G9" s="2"/>
      <c r="H9" s="1"/>
      <c r="I9" s="1" t="s">
        <v>421</v>
      </c>
      <c r="J9" s="1" t="s">
        <v>42</v>
      </c>
      <c r="K9" s="1" t="s">
        <v>531</v>
      </c>
      <c r="L9" s="1"/>
      <c r="M9" s="1"/>
      <c r="N9" s="1" t="s">
        <v>532</v>
      </c>
      <c r="O9" s="1"/>
      <c r="P9" s="1" t="s">
        <v>533</v>
      </c>
      <c r="Q9" s="1"/>
      <c r="R9" s="1"/>
      <c r="S9" s="1" t="s">
        <v>534</v>
      </c>
      <c r="T9" s="1" t="s">
        <v>535</v>
      </c>
    </row>
    <row r="10" spans="1:20" x14ac:dyDescent="0.25">
      <c r="A10" s="1" t="s">
        <v>536</v>
      </c>
      <c r="B10" s="1">
        <f t="shared" si="0"/>
        <v>9</v>
      </c>
      <c r="C10" s="1"/>
      <c r="D10" s="1"/>
      <c r="E10" s="2">
        <v>43416</v>
      </c>
      <c r="F10" s="2">
        <v>43676</v>
      </c>
      <c r="G10" s="2"/>
      <c r="H10" s="1" t="s">
        <v>537</v>
      </c>
      <c r="I10" s="1" t="s">
        <v>421</v>
      </c>
      <c r="J10" s="1" t="s">
        <v>393</v>
      </c>
      <c r="K10" s="1"/>
      <c r="L10" s="1" t="s">
        <v>538</v>
      </c>
      <c r="M10" s="1"/>
      <c r="N10" s="1" t="s">
        <v>539</v>
      </c>
      <c r="O10" s="1"/>
      <c r="P10" s="1" t="s">
        <v>540</v>
      </c>
      <c r="Q10" s="1"/>
      <c r="R10" s="1"/>
      <c r="S10" s="1"/>
      <c r="T10" s="1"/>
    </row>
    <row r="11" spans="1:20" x14ac:dyDescent="0.25">
      <c r="A11" s="1" t="s">
        <v>541</v>
      </c>
      <c r="B11" s="1">
        <f t="shared" si="0"/>
        <v>10</v>
      </c>
      <c r="C11" s="1"/>
      <c r="D11" s="1"/>
      <c r="E11" s="2">
        <v>43141</v>
      </c>
      <c r="F11" s="1"/>
      <c r="G11" s="1"/>
      <c r="H11" s="1" t="s">
        <v>542</v>
      </c>
      <c r="I11" s="1" t="s">
        <v>42</v>
      </c>
      <c r="J11" s="1" t="s">
        <v>393</v>
      </c>
      <c r="K11" s="1" t="s">
        <v>543</v>
      </c>
      <c r="L11" s="1" t="s">
        <v>544</v>
      </c>
      <c r="M11" s="1"/>
      <c r="N11" s="1" t="s">
        <v>545</v>
      </c>
      <c r="O11" s="1">
        <v>655055988</v>
      </c>
      <c r="P11" s="1" t="s">
        <v>260</v>
      </c>
      <c r="Q11" s="1"/>
      <c r="R11" s="1"/>
      <c r="S11" s="1" t="s">
        <v>546</v>
      </c>
      <c r="T11" s="1"/>
    </row>
    <row r="12" spans="1:20" x14ac:dyDescent="0.25">
      <c r="A12" s="1" t="s">
        <v>547</v>
      </c>
      <c r="B12" s="1">
        <f t="shared" si="0"/>
        <v>11</v>
      </c>
      <c r="C12" s="1"/>
      <c r="D12" s="1"/>
      <c r="E12" s="1" t="s">
        <v>491</v>
      </c>
      <c r="F12" s="2">
        <v>43995</v>
      </c>
      <c r="G12" s="2"/>
      <c r="H12" s="1" t="s">
        <v>548</v>
      </c>
      <c r="I12" s="1" t="s">
        <v>42</v>
      </c>
      <c r="J12" s="1" t="s">
        <v>393</v>
      </c>
      <c r="K12" s="1" t="s">
        <v>549</v>
      </c>
      <c r="L12" s="1" t="s">
        <v>550</v>
      </c>
      <c r="M12" s="1"/>
      <c r="N12" s="1" t="s">
        <v>551</v>
      </c>
      <c r="O12" s="1"/>
      <c r="P12" s="1" t="s">
        <v>552</v>
      </c>
      <c r="Q12" s="1"/>
      <c r="R12" s="1" t="s">
        <v>553</v>
      </c>
      <c r="S12" s="1" t="s">
        <v>546</v>
      </c>
      <c r="T12" s="1"/>
    </row>
    <row r="13" spans="1:20" x14ac:dyDescent="0.25">
      <c r="A13" s="1" t="s">
        <v>554</v>
      </c>
      <c r="B13" s="1">
        <f t="shared" si="0"/>
        <v>12</v>
      </c>
      <c r="C13" s="1"/>
      <c r="D13" s="1"/>
      <c r="E13" s="2">
        <v>43141</v>
      </c>
      <c r="F13" s="2">
        <v>44006</v>
      </c>
      <c r="G13" s="2"/>
      <c r="H13" s="1" t="s">
        <v>555</v>
      </c>
      <c r="I13" s="1" t="s">
        <v>87</v>
      </c>
      <c r="J13" s="1" t="s">
        <v>393</v>
      </c>
      <c r="K13" s="1" t="s">
        <v>556</v>
      </c>
      <c r="L13" s="1" t="s">
        <v>557</v>
      </c>
      <c r="M13" s="1"/>
      <c r="N13" s="1" t="s">
        <v>558</v>
      </c>
      <c r="O13" s="1">
        <v>686199912</v>
      </c>
      <c r="P13" s="1" t="s">
        <v>559</v>
      </c>
      <c r="Q13" s="1"/>
      <c r="R13" s="1"/>
      <c r="S13" s="1" t="s">
        <v>546</v>
      </c>
      <c r="T13" s="1" t="s">
        <v>560</v>
      </c>
    </row>
    <row r="14" spans="1:20" x14ac:dyDescent="0.25">
      <c r="A14" s="1" t="s">
        <v>561</v>
      </c>
      <c r="B14" s="1">
        <f t="shared" si="0"/>
        <v>13</v>
      </c>
      <c r="C14" s="1"/>
      <c r="D14" s="1"/>
      <c r="E14" s="2">
        <v>43141</v>
      </c>
      <c r="F14" s="2">
        <v>44027</v>
      </c>
      <c r="G14" s="2"/>
      <c r="H14" s="1" t="s">
        <v>562</v>
      </c>
      <c r="I14" s="1" t="s">
        <v>87</v>
      </c>
      <c r="J14" s="1" t="s">
        <v>393</v>
      </c>
      <c r="K14" s="1" t="s">
        <v>563</v>
      </c>
      <c r="L14" s="1" t="s">
        <v>564</v>
      </c>
      <c r="M14" s="1"/>
      <c r="N14" s="1" t="s">
        <v>565</v>
      </c>
      <c r="O14" s="1"/>
      <c r="P14" s="1" t="s">
        <v>566</v>
      </c>
      <c r="Q14" s="1"/>
      <c r="R14" s="1"/>
      <c r="S14" s="1" t="s">
        <v>567</v>
      </c>
      <c r="T14" s="1" t="s">
        <v>568</v>
      </c>
    </row>
    <row r="15" spans="1:20" x14ac:dyDescent="0.25">
      <c r="A15" s="1" t="s">
        <v>569</v>
      </c>
      <c r="B15" s="1">
        <f t="shared" si="0"/>
        <v>14</v>
      </c>
      <c r="C15" s="1"/>
      <c r="D15" s="1"/>
      <c r="E15" s="2">
        <v>43416</v>
      </c>
      <c r="F15" s="2">
        <v>44006</v>
      </c>
      <c r="G15" s="2"/>
      <c r="H15" s="1" t="s">
        <v>570</v>
      </c>
      <c r="I15" s="1" t="s">
        <v>87</v>
      </c>
      <c r="J15" s="1" t="s">
        <v>393</v>
      </c>
      <c r="K15" s="1" t="s">
        <v>571</v>
      </c>
      <c r="L15" s="1" t="s">
        <v>572</v>
      </c>
      <c r="M15" s="1"/>
      <c r="N15" s="1" t="s">
        <v>573</v>
      </c>
      <c r="O15" s="1">
        <v>637122328</v>
      </c>
      <c r="P15" s="1" t="s">
        <v>574</v>
      </c>
      <c r="Q15" s="1"/>
      <c r="R15" s="1"/>
      <c r="S15" s="1" t="s">
        <v>546</v>
      </c>
      <c r="T15" s="1" t="s">
        <v>575</v>
      </c>
    </row>
    <row r="16" spans="1:20" x14ac:dyDescent="0.25">
      <c r="A16" s="1" t="s">
        <v>576</v>
      </c>
      <c r="B16" s="1">
        <f t="shared" si="0"/>
        <v>15</v>
      </c>
      <c r="C16" s="1"/>
      <c r="D16" s="1"/>
      <c r="E16" s="2">
        <v>43141</v>
      </c>
      <c r="F16" s="2">
        <v>44006</v>
      </c>
      <c r="G16" s="2"/>
      <c r="H16" s="1" t="s">
        <v>577</v>
      </c>
      <c r="I16" s="1" t="s">
        <v>87</v>
      </c>
      <c r="J16" s="1" t="s">
        <v>393</v>
      </c>
      <c r="K16" s="1" t="s">
        <v>578</v>
      </c>
      <c r="L16" s="1" t="s">
        <v>579</v>
      </c>
      <c r="M16" s="1"/>
      <c r="N16" s="1" t="s">
        <v>580</v>
      </c>
      <c r="O16" s="1">
        <v>633867801</v>
      </c>
      <c r="P16" s="1" t="s">
        <v>574</v>
      </c>
      <c r="Q16" s="1"/>
      <c r="R16" s="1"/>
      <c r="S16" s="1" t="s">
        <v>581</v>
      </c>
      <c r="T16" s="1" t="s">
        <v>582</v>
      </c>
    </row>
    <row r="17" spans="1:20" x14ac:dyDescent="0.25">
      <c r="A17" s="1" t="s">
        <v>583</v>
      </c>
      <c r="B17" s="1">
        <f t="shared" si="0"/>
        <v>16</v>
      </c>
      <c r="C17" s="1"/>
      <c r="D17" s="1"/>
      <c r="E17" s="2">
        <v>43141</v>
      </c>
      <c r="F17" s="2">
        <v>44006</v>
      </c>
      <c r="G17" s="2"/>
      <c r="H17" s="1" t="s">
        <v>584</v>
      </c>
      <c r="I17" s="1" t="s">
        <v>87</v>
      </c>
      <c r="J17" s="1" t="s">
        <v>393</v>
      </c>
      <c r="K17" s="1" t="s">
        <v>585</v>
      </c>
      <c r="L17" s="1" t="s">
        <v>586</v>
      </c>
      <c r="M17" s="1"/>
      <c r="N17" s="1" t="s">
        <v>587</v>
      </c>
      <c r="O17" s="1">
        <v>671711954</v>
      </c>
      <c r="P17" s="1" t="s">
        <v>574</v>
      </c>
      <c r="Q17" s="1"/>
      <c r="R17" s="1"/>
      <c r="S17" s="1" t="s">
        <v>588</v>
      </c>
      <c r="T17" s="1"/>
    </row>
    <row r="18" spans="1:20" x14ac:dyDescent="0.25">
      <c r="A18" s="1" t="s">
        <v>589</v>
      </c>
      <c r="B18" s="1">
        <f t="shared" si="0"/>
        <v>17</v>
      </c>
      <c r="C18" s="1"/>
      <c r="D18" s="1"/>
      <c r="E18" s="2">
        <v>43416</v>
      </c>
      <c r="F18" s="1"/>
      <c r="G18" s="1"/>
      <c r="H18" s="1" t="s">
        <v>590</v>
      </c>
      <c r="I18" s="1" t="s">
        <v>421</v>
      </c>
      <c r="J18" s="1" t="s">
        <v>407</v>
      </c>
      <c r="K18" s="1" t="s">
        <v>591</v>
      </c>
      <c r="L18" s="1" t="s">
        <v>592</v>
      </c>
      <c r="M18" s="1"/>
      <c r="N18" s="1" t="s">
        <v>593</v>
      </c>
      <c r="O18" s="1"/>
      <c r="P18" s="1" t="s">
        <v>594</v>
      </c>
      <c r="Q18" s="1"/>
      <c r="R18" s="1"/>
      <c r="S18" s="1" t="s">
        <v>595</v>
      </c>
      <c r="T18" s="1"/>
    </row>
    <row r="19" spans="1:20" x14ac:dyDescent="0.25">
      <c r="A19" s="1" t="s">
        <v>596</v>
      </c>
      <c r="B19" s="1">
        <f t="shared" si="0"/>
        <v>18</v>
      </c>
      <c r="C19" s="1"/>
      <c r="D19" s="1"/>
      <c r="E19" s="2">
        <v>43446</v>
      </c>
      <c r="F19" s="1" t="s">
        <v>597</v>
      </c>
      <c r="G19" s="1"/>
      <c r="H19" s="1" t="s">
        <v>598</v>
      </c>
      <c r="I19" s="1" t="s">
        <v>407</v>
      </c>
      <c r="J19" s="1" t="s">
        <v>393</v>
      </c>
      <c r="K19" s="1" t="s">
        <v>599</v>
      </c>
      <c r="L19" s="1" t="s">
        <v>600</v>
      </c>
      <c r="M19" s="1"/>
      <c r="N19" s="1" t="s">
        <v>601</v>
      </c>
      <c r="O19" s="1">
        <v>697546832</v>
      </c>
      <c r="P19" s="1" t="s">
        <v>70</v>
      </c>
      <c r="Q19" s="1"/>
      <c r="R19" s="1"/>
      <c r="S19" s="1"/>
      <c r="T19" s="1"/>
    </row>
    <row r="20" spans="1:20" x14ac:dyDescent="0.25">
      <c r="A20" s="1" t="s">
        <v>602</v>
      </c>
      <c r="B20" s="1">
        <f t="shared" si="0"/>
        <v>19</v>
      </c>
      <c r="C20" s="1"/>
      <c r="D20" s="1"/>
      <c r="E20" s="2">
        <v>43446</v>
      </c>
      <c r="F20" s="1"/>
      <c r="G20" s="1"/>
      <c r="H20" s="1" t="s">
        <v>603</v>
      </c>
      <c r="I20" s="1" t="s">
        <v>407</v>
      </c>
      <c r="J20" s="1" t="s">
        <v>393</v>
      </c>
      <c r="K20" s="1" t="s">
        <v>604</v>
      </c>
      <c r="L20" s="1" t="s">
        <v>605</v>
      </c>
      <c r="M20" s="1"/>
      <c r="N20" s="1" t="s">
        <v>606</v>
      </c>
      <c r="O20" s="1">
        <v>688660671</v>
      </c>
      <c r="P20" s="1" t="s">
        <v>607</v>
      </c>
      <c r="Q20" s="1"/>
      <c r="R20" s="1"/>
      <c r="S20" s="1" t="s">
        <v>529</v>
      </c>
      <c r="T20" s="1"/>
    </row>
    <row r="21" spans="1:20" x14ac:dyDescent="0.25">
      <c r="A21" s="1" t="s">
        <v>608</v>
      </c>
      <c r="B21" s="1">
        <f t="shared" si="0"/>
        <v>20</v>
      </c>
      <c r="C21" s="1"/>
      <c r="D21" s="1"/>
      <c r="E21" s="1" t="s">
        <v>609</v>
      </c>
      <c r="F21" s="1"/>
      <c r="G21" s="1"/>
      <c r="H21" s="1" t="s">
        <v>610</v>
      </c>
      <c r="I21" s="1" t="s">
        <v>407</v>
      </c>
      <c r="J21" s="1" t="s">
        <v>393</v>
      </c>
      <c r="K21" s="1" t="s">
        <v>611</v>
      </c>
      <c r="L21" s="1" t="s">
        <v>612</v>
      </c>
      <c r="M21" s="1"/>
      <c r="N21" s="1" t="s">
        <v>613</v>
      </c>
      <c r="O21" s="1">
        <v>637364195</v>
      </c>
      <c r="P21" s="1" t="s">
        <v>225</v>
      </c>
      <c r="Q21" s="1"/>
      <c r="R21" s="1"/>
      <c r="S21" s="1" t="s">
        <v>614</v>
      </c>
      <c r="T21" s="1" t="s">
        <v>615</v>
      </c>
    </row>
    <row r="22" spans="1:20" x14ac:dyDescent="0.25">
      <c r="A22" s="1" t="s">
        <v>616</v>
      </c>
      <c r="B22" s="1">
        <f t="shared" si="0"/>
        <v>21</v>
      </c>
      <c r="C22" s="1"/>
      <c r="D22" s="1"/>
      <c r="E22" s="1" t="s">
        <v>491</v>
      </c>
      <c r="F22" s="1" t="s">
        <v>617</v>
      </c>
      <c r="G22" s="1"/>
      <c r="H22" s="1" t="s">
        <v>618</v>
      </c>
      <c r="I22" s="1" t="s">
        <v>421</v>
      </c>
      <c r="J22" s="1" t="s">
        <v>393</v>
      </c>
      <c r="K22" s="1" t="s">
        <v>619</v>
      </c>
      <c r="L22" s="1" t="s">
        <v>620</v>
      </c>
      <c r="M22" s="1"/>
      <c r="N22" s="1" t="s">
        <v>621</v>
      </c>
      <c r="O22" s="1">
        <v>661566368</v>
      </c>
      <c r="P22" s="1" t="s">
        <v>82</v>
      </c>
      <c r="Q22" s="1"/>
      <c r="R22" s="1"/>
      <c r="S22" s="1"/>
      <c r="T22" s="1" t="s">
        <v>622</v>
      </c>
    </row>
    <row r="23" spans="1:20" x14ac:dyDescent="0.25">
      <c r="A23" s="1" t="s">
        <v>623</v>
      </c>
      <c r="B23" s="1">
        <f t="shared" si="0"/>
        <v>22</v>
      </c>
      <c r="C23" s="1"/>
      <c r="D23" s="1"/>
      <c r="E23" s="2">
        <v>43416</v>
      </c>
      <c r="F23" s="1" t="s">
        <v>617</v>
      </c>
      <c r="G23" s="1"/>
      <c r="H23" s="1" t="s">
        <v>624</v>
      </c>
      <c r="I23" s="1" t="s">
        <v>421</v>
      </c>
      <c r="J23" s="1" t="s">
        <v>393</v>
      </c>
      <c r="K23" s="1" t="s">
        <v>625</v>
      </c>
      <c r="L23" s="1" t="s">
        <v>626</v>
      </c>
      <c r="M23" s="1"/>
      <c r="N23" s="1" t="s">
        <v>627</v>
      </c>
      <c r="O23" s="1">
        <v>676485216</v>
      </c>
      <c r="P23" s="1" t="s">
        <v>225</v>
      </c>
      <c r="Q23" s="1"/>
      <c r="R23" s="1"/>
      <c r="S23" s="1"/>
      <c r="T23" s="1"/>
    </row>
    <row r="24" spans="1:20" x14ac:dyDescent="0.25">
      <c r="A24" s="1" t="s">
        <v>628</v>
      </c>
      <c r="B24" s="1">
        <f t="shared" si="0"/>
        <v>23</v>
      </c>
      <c r="C24" s="1"/>
      <c r="D24" s="1"/>
      <c r="E24" s="2">
        <v>43141</v>
      </c>
      <c r="F24" s="2">
        <v>44105</v>
      </c>
      <c r="G24" s="2"/>
      <c r="H24" s="1" t="s">
        <v>629</v>
      </c>
      <c r="I24" s="1" t="s">
        <v>483</v>
      </c>
      <c r="J24" s="1" t="s">
        <v>393</v>
      </c>
      <c r="K24" s="1" t="s">
        <v>630</v>
      </c>
      <c r="L24" s="1" t="s">
        <v>631</v>
      </c>
      <c r="M24" s="1"/>
      <c r="N24" s="1" t="s">
        <v>632</v>
      </c>
      <c r="O24" s="1"/>
      <c r="P24" s="1" t="s">
        <v>633</v>
      </c>
      <c r="Q24" s="1"/>
      <c r="R24" s="1"/>
      <c r="S24" s="1" t="s">
        <v>634</v>
      </c>
      <c r="T24" s="1" t="s">
        <v>635</v>
      </c>
    </row>
    <row r="25" spans="1:20" x14ac:dyDescent="0.25">
      <c r="A25" s="1" t="s">
        <v>636</v>
      </c>
      <c r="B25" s="1">
        <f t="shared" si="0"/>
        <v>24</v>
      </c>
      <c r="C25" s="1"/>
      <c r="D25" s="1"/>
      <c r="E25" s="2">
        <v>43416</v>
      </c>
      <c r="F25" s="2">
        <v>44138</v>
      </c>
      <c r="G25" s="2"/>
      <c r="H25" s="1" t="s">
        <v>637</v>
      </c>
      <c r="I25" s="1" t="s">
        <v>421</v>
      </c>
      <c r="J25" s="1" t="s">
        <v>393</v>
      </c>
      <c r="K25" s="1" t="s">
        <v>638</v>
      </c>
      <c r="L25" s="1" t="s">
        <v>639</v>
      </c>
      <c r="M25" s="1"/>
      <c r="N25" s="1" t="s">
        <v>640</v>
      </c>
      <c r="O25" s="1">
        <v>636127312</v>
      </c>
      <c r="P25" s="1" t="s">
        <v>641</v>
      </c>
      <c r="Q25" s="1"/>
      <c r="R25" s="1"/>
      <c r="S25" s="1"/>
      <c r="T25" s="1"/>
    </row>
    <row r="26" spans="1:20" x14ac:dyDescent="0.25">
      <c r="A26" s="1" t="s">
        <v>642</v>
      </c>
      <c r="B26" s="1">
        <f t="shared" si="0"/>
        <v>25</v>
      </c>
      <c r="C26" s="1"/>
      <c r="D26" s="1"/>
      <c r="E26" s="2">
        <v>43913</v>
      </c>
      <c r="F26" s="2">
        <v>44136</v>
      </c>
      <c r="G26" s="2"/>
      <c r="H26" s="1" t="s">
        <v>643</v>
      </c>
      <c r="I26" s="1" t="s">
        <v>421</v>
      </c>
      <c r="J26" s="1" t="s">
        <v>393</v>
      </c>
      <c r="K26" s="1"/>
      <c r="L26" s="1" t="s">
        <v>644</v>
      </c>
      <c r="M26" s="1"/>
      <c r="N26" s="1"/>
      <c r="O26" s="1">
        <v>688842758</v>
      </c>
      <c r="P26" s="1"/>
      <c r="Q26" s="1"/>
      <c r="R26" s="1"/>
      <c r="S26" s="1"/>
      <c r="T26" s="1"/>
    </row>
    <row r="27" spans="1:20" x14ac:dyDescent="0.25">
      <c r="A27" s="1" t="s">
        <v>645</v>
      </c>
      <c r="B27" s="1">
        <f t="shared" si="0"/>
        <v>26</v>
      </c>
      <c r="C27" s="1"/>
      <c r="D27" s="1"/>
      <c r="E27" s="2">
        <v>43748</v>
      </c>
      <c r="F27" s="2">
        <v>43780</v>
      </c>
      <c r="G27" s="2"/>
      <c r="H27" s="1" t="s">
        <v>646</v>
      </c>
      <c r="I27" s="1" t="s">
        <v>483</v>
      </c>
      <c r="J27" s="1" t="s">
        <v>393</v>
      </c>
      <c r="K27" s="1" t="s">
        <v>647</v>
      </c>
      <c r="L27" s="1" t="s">
        <v>648</v>
      </c>
      <c r="M27" s="1"/>
      <c r="N27" s="1" t="s">
        <v>649</v>
      </c>
      <c r="O27" s="1">
        <v>688873539</v>
      </c>
      <c r="P27" s="1" t="s">
        <v>650</v>
      </c>
      <c r="Q27" s="1"/>
      <c r="R27" s="1"/>
      <c r="S27" s="1" t="s">
        <v>651</v>
      </c>
      <c r="T27" s="1"/>
    </row>
    <row r="28" spans="1:20" x14ac:dyDescent="0.25">
      <c r="A28" s="1" t="s">
        <v>652</v>
      </c>
      <c r="B28" s="1">
        <f t="shared" si="0"/>
        <v>27</v>
      </c>
      <c r="C28" s="1"/>
      <c r="D28" s="1"/>
      <c r="E28" s="2">
        <v>43878</v>
      </c>
      <c r="F28" s="2">
        <v>44105</v>
      </c>
      <c r="G28" s="2"/>
      <c r="H28" s="1" t="s">
        <v>653</v>
      </c>
      <c r="I28" s="1" t="s">
        <v>151</v>
      </c>
      <c r="J28" s="1" t="s">
        <v>393</v>
      </c>
      <c r="K28" s="1" t="s">
        <v>654</v>
      </c>
      <c r="L28" s="1" t="s">
        <v>655</v>
      </c>
      <c r="M28" s="1"/>
      <c r="N28" s="1" t="s">
        <v>656</v>
      </c>
      <c r="O28" s="1">
        <v>639390245</v>
      </c>
      <c r="P28" s="1" t="s">
        <v>657</v>
      </c>
      <c r="Q28" s="1"/>
      <c r="R28" s="1"/>
      <c r="S28" s="1"/>
      <c r="T28" s="1"/>
    </row>
    <row r="29" spans="1:20" x14ac:dyDescent="0.25">
      <c r="A29" s="1" t="s">
        <v>658</v>
      </c>
      <c r="B29" s="1">
        <f t="shared" si="0"/>
        <v>28</v>
      </c>
      <c r="C29" s="1"/>
      <c r="D29" s="1"/>
      <c r="E29" s="1" t="s">
        <v>491</v>
      </c>
      <c r="F29" s="2">
        <v>44440</v>
      </c>
      <c r="G29" s="37"/>
      <c r="H29" s="1" t="s">
        <v>659</v>
      </c>
      <c r="I29" s="1" t="s">
        <v>421</v>
      </c>
      <c r="J29" s="1" t="s">
        <v>393</v>
      </c>
      <c r="K29" s="1" t="s">
        <v>660</v>
      </c>
      <c r="L29" s="1" t="s">
        <v>661</v>
      </c>
      <c r="M29" s="1"/>
      <c r="N29" s="1" t="s">
        <v>662</v>
      </c>
      <c r="O29" s="1">
        <v>629402913</v>
      </c>
      <c r="P29" s="1" t="s">
        <v>663</v>
      </c>
      <c r="Q29" s="1"/>
      <c r="R29" s="1" t="s">
        <v>82</v>
      </c>
      <c r="S29" s="1" t="s">
        <v>595</v>
      </c>
      <c r="T29" s="1"/>
    </row>
    <row r="30" spans="1:20" x14ac:dyDescent="0.25">
      <c r="A30" s="1" t="s">
        <v>664</v>
      </c>
      <c r="B30" s="1">
        <f t="shared" si="0"/>
        <v>29</v>
      </c>
      <c r="C30" s="1"/>
      <c r="D30" s="1"/>
      <c r="E30" s="1" t="s">
        <v>491</v>
      </c>
      <c r="F30" s="2">
        <v>44440</v>
      </c>
      <c r="G30" s="2"/>
      <c r="H30" s="1" t="s">
        <v>665</v>
      </c>
      <c r="I30" s="1" t="s">
        <v>421</v>
      </c>
      <c r="J30" s="1" t="s">
        <v>393</v>
      </c>
      <c r="K30" s="1" t="s">
        <v>666</v>
      </c>
      <c r="L30" s="1" t="s">
        <v>667</v>
      </c>
      <c r="M30" s="1"/>
      <c r="N30" s="1" t="s">
        <v>668</v>
      </c>
      <c r="O30" s="1">
        <v>638180867</v>
      </c>
      <c r="P30" s="1" t="s">
        <v>663</v>
      </c>
      <c r="Q30" s="1"/>
      <c r="R30" s="1" t="s">
        <v>82</v>
      </c>
      <c r="S30" s="1" t="s">
        <v>595</v>
      </c>
      <c r="T30" s="1" t="s">
        <v>669</v>
      </c>
    </row>
    <row r="31" spans="1:20" x14ac:dyDescent="0.25">
      <c r="A31" s="1" t="s">
        <v>670</v>
      </c>
      <c r="B31" s="1">
        <f t="shared" si="0"/>
        <v>30</v>
      </c>
      <c r="C31" s="1"/>
      <c r="D31" s="1"/>
      <c r="E31" s="2">
        <v>43748</v>
      </c>
      <c r="F31" s="2">
        <v>44449</v>
      </c>
      <c r="G31" s="2"/>
      <c r="H31" s="1" t="s">
        <v>671</v>
      </c>
      <c r="I31" s="1" t="s">
        <v>421</v>
      </c>
      <c r="J31" s="1" t="s">
        <v>393</v>
      </c>
      <c r="K31" s="1" t="s">
        <v>672</v>
      </c>
      <c r="L31" s="1" t="s">
        <v>673</v>
      </c>
      <c r="M31" s="1"/>
      <c r="N31" s="1" t="s">
        <v>674</v>
      </c>
      <c r="O31" s="1">
        <v>688645108</v>
      </c>
      <c r="P31" s="1" t="s">
        <v>100</v>
      </c>
      <c r="Q31" s="1"/>
      <c r="R31" s="1"/>
      <c r="S31" s="1" t="s">
        <v>675</v>
      </c>
      <c r="T31" s="1" t="s">
        <v>676</v>
      </c>
    </row>
    <row r="32" spans="1:20" x14ac:dyDescent="0.25">
      <c r="A32" s="1" t="s">
        <v>677</v>
      </c>
      <c r="B32" s="1">
        <f t="shared" si="0"/>
        <v>31</v>
      </c>
      <c r="C32" s="1"/>
      <c r="D32" s="1"/>
      <c r="E32" s="2">
        <v>43416</v>
      </c>
      <c r="F32" s="2">
        <v>44440</v>
      </c>
      <c r="G32" s="2"/>
      <c r="H32" s="1" t="s">
        <v>678</v>
      </c>
      <c r="I32" s="1" t="s">
        <v>421</v>
      </c>
      <c r="J32" s="1" t="s">
        <v>393</v>
      </c>
      <c r="K32" s="1" t="s">
        <v>679</v>
      </c>
      <c r="L32" s="1" t="s">
        <v>680</v>
      </c>
      <c r="M32" s="1"/>
      <c r="N32" s="1" t="s">
        <v>681</v>
      </c>
      <c r="O32" s="1">
        <v>688640488</v>
      </c>
      <c r="P32" s="1" t="s">
        <v>566</v>
      </c>
      <c r="Q32" s="1"/>
      <c r="R32" s="1" t="s">
        <v>82</v>
      </c>
      <c r="S32" s="1"/>
      <c r="T32" s="1"/>
    </row>
    <row r="33" spans="1:20" x14ac:dyDescent="0.25">
      <c r="A33" s="1" t="s">
        <v>682</v>
      </c>
      <c r="B33" s="1">
        <f t="shared" si="0"/>
        <v>32</v>
      </c>
      <c r="C33" s="1"/>
      <c r="D33" s="1"/>
      <c r="E33" s="2">
        <v>43913</v>
      </c>
      <c r="F33" s="1"/>
      <c r="G33" s="1"/>
      <c r="H33" s="1" t="s">
        <v>683</v>
      </c>
      <c r="I33" s="1" t="s">
        <v>421</v>
      </c>
      <c r="J33" s="1" t="s">
        <v>393</v>
      </c>
      <c r="K33" s="1"/>
      <c r="L33" s="1" t="s">
        <v>684</v>
      </c>
      <c r="M33" s="1"/>
      <c r="N33" s="1" t="s">
        <v>685</v>
      </c>
      <c r="O33" s="1">
        <v>646066642</v>
      </c>
      <c r="P33" s="1" t="s">
        <v>566</v>
      </c>
      <c r="Q33" s="1"/>
      <c r="R33" s="1" t="s">
        <v>82</v>
      </c>
      <c r="S33" s="1" t="s">
        <v>686</v>
      </c>
      <c r="T33" s="1" t="s">
        <v>687</v>
      </c>
    </row>
    <row r="34" spans="1:20" x14ac:dyDescent="0.25">
      <c r="A34" s="1" t="s">
        <v>688</v>
      </c>
      <c r="B34" s="1">
        <f t="shared" si="0"/>
        <v>33</v>
      </c>
      <c r="C34" s="1"/>
      <c r="D34" s="1"/>
      <c r="E34" s="2">
        <v>43738</v>
      </c>
      <c r="F34" s="2">
        <v>44166</v>
      </c>
      <c r="G34" s="2"/>
      <c r="H34" s="1" t="s">
        <v>689</v>
      </c>
      <c r="I34" s="1" t="s">
        <v>87</v>
      </c>
      <c r="J34" s="1" t="s">
        <v>393</v>
      </c>
      <c r="K34" s="1" t="s">
        <v>690</v>
      </c>
      <c r="L34" s="1" t="s">
        <v>691</v>
      </c>
      <c r="M34" s="1"/>
      <c r="N34" s="1" t="s">
        <v>692</v>
      </c>
      <c r="O34" s="1">
        <v>688697677</v>
      </c>
      <c r="P34" s="1" t="s">
        <v>650</v>
      </c>
      <c r="Q34" s="1"/>
      <c r="R34" s="1"/>
      <c r="S34" s="1"/>
      <c r="T34" s="1" t="s">
        <v>693</v>
      </c>
    </row>
    <row r="35" spans="1:20" x14ac:dyDescent="0.25">
      <c r="A35" s="1" t="s">
        <v>694</v>
      </c>
      <c r="B35" s="1">
        <f t="shared" ref="B35:B66" si="1">B34+1</f>
        <v>34</v>
      </c>
      <c r="C35" s="1"/>
      <c r="D35" s="1"/>
      <c r="E35" s="2">
        <v>43733</v>
      </c>
      <c r="F35" s="2">
        <v>44197</v>
      </c>
      <c r="G35" s="2"/>
      <c r="H35" s="1" t="s">
        <v>695</v>
      </c>
      <c r="I35" s="1" t="s">
        <v>151</v>
      </c>
      <c r="J35" s="1" t="s">
        <v>393</v>
      </c>
      <c r="K35" s="1" t="s">
        <v>696</v>
      </c>
      <c r="L35" s="1" t="s">
        <v>697</v>
      </c>
      <c r="M35" s="1"/>
      <c r="N35" s="1" t="s">
        <v>698</v>
      </c>
      <c r="O35" s="1">
        <v>664513557</v>
      </c>
      <c r="P35" s="1" t="s">
        <v>650</v>
      </c>
      <c r="Q35" s="1"/>
      <c r="R35" s="1"/>
      <c r="S35" s="1" t="s">
        <v>686</v>
      </c>
      <c r="T35" s="1"/>
    </row>
    <row r="36" spans="1:20" x14ac:dyDescent="0.25">
      <c r="A36" s="1" t="s">
        <v>699</v>
      </c>
      <c r="B36" s="1">
        <f t="shared" si="1"/>
        <v>35</v>
      </c>
      <c r="C36" s="1"/>
      <c r="D36" s="1"/>
      <c r="E36" s="2">
        <v>44068</v>
      </c>
      <c r="F36" s="1" t="s">
        <v>700</v>
      </c>
      <c r="G36" s="1"/>
      <c r="H36" s="1" t="s">
        <v>701</v>
      </c>
      <c r="I36" s="1" t="s">
        <v>87</v>
      </c>
      <c r="J36" s="1" t="s">
        <v>393</v>
      </c>
      <c r="K36" s="1" t="s">
        <v>702</v>
      </c>
      <c r="L36" s="1" t="s">
        <v>703</v>
      </c>
      <c r="M36" s="1"/>
      <c r="N36" s="1" t="s">
        <v>237</v>
      </c>
      <c r="O36" s="1">
        <v>688603742</v>
      </c>
      <c r="P36" s="1" t="s">
        <v>650</v>
      </c>
      <c r="Q36" s="1"/>
      <c r="R36" s="1"/>
      <c r="S36" s="1"/>
      <c r="T36" s="1" t="s">
        <v>704</v>
      </c>
    </row>
    <row r="37" spans="1:20" x14ac:dyDescent="0.25">
      <c r="A37" s="1" t="s">
        <v>705</v>
      </c>
      <c r="B37" s="1">
        <f t="shared" si="1"/>
        <v>36</v>
      </c>
      <c r="C37" s="1"/>
      <c r="D37" s="1"/>
      <c r="E37" s="2">
        <v>44088</v>
      </c>
      <c r="F37" s="1" t="s">
        <v>700</v>
      </c>
      <c r="G37" s="1"/>
      <c r="H37" s="1" t="s">
        <v>706</v>
      </c>
      <c r="I37" s="1" t="s">
        <v>87</v>
      </c>
      <c r="J37" s="1" t="s">
        <v>393</v>
      </c>
      <c r="K37" s="1" t="s">
        <v>707</v>
      </c>
      <c r="L37" s="1" t="s">
        <v>708</v>
      </c>
      <c r="M37" s="1"/>
      <c r="N37" s="1" t="s">
        <v>709</v>
      </c>
      <c r="O37" s="1">
        <v>633745357</v>
      </c>
      <c r="P37" s="1" t="s">
        <v>650</v>
      </c>
      <c r="Q37" s="1"/>
      <c r="R37" s="1"/>
      <c r="S37" s="1"/>
      <c r="T37" s="1"/>
    </row>
    <row r="38" spans="1:20" x14ac:dyDescent="0.25">
      <c r="A38" s="1" t="s">
        <v>710</v>
      </c>
      <c r="B38" s="1">
        <f t="shared" si="1"/>
        <v>37</v>
      </c>
      <c r="C38" s="1"/>
      <c r="D38" s="1"/>
      <c r="E38" s="2">
        <v>44130</v>
      </c>
      <c r="F38" s="1" t="s">
        <v>711</v>
      </c>
      <c r="G38" s="1"/>
      <c r="H38" s="1" t="s">
        <v>712</v>
      </c>
      <c r="I38" s="1" t="s">
        <v>87</v>
      </c>
      <c r="J38" s="1" t="s">
        <v>393</v>
      </c>
      <c r="K38" s="1" t="s">
        <v>713</v>
      </c>
      <c r="L38" s="1" t="s">
        <v>714</v>
      </c>
      <c r="M38" s="1"/>
      <c r="N38" s="1" t="s">
        <v>715</v>
      </c>
      <c r="O38" s="1">
        <v>622870211</v>
      </c>
      <c r="P38" s="1" t="s">
        <v>559</v>
      </c>
      <c r="Q38" s="1"/>
      <c r="R38" s="1" t="s">
        <v>716</v>
      </c>
      <c r="S38" s="1" t="s">
        <v>546</v>
      </c>
      <c r="T38" s="1"/>
    </row>
    <row r="39" spans="1:20" x14ac:dyDescent="0.25">
      <c r="A39" s="1" t="s">
        <v>717</v>
      </c>
      <c r="B39" s="1">
        <f t="shared" si="1"/>
        <v>38</v>
      </c>
      <c r="C39" s="1"/>
      <c r="D39" s="1"/>
      <c r="E39" s="2">
        <v>43738</v>
      </c>
      <c r="F39" s="2">
        <v>44440</v>
      </c>
      <c r="G39" s="2"/>
      <c r="H39" s="1" t="s">
        <v>718</v>
      </c>
      <c r="I39" s="1" t="s">
        <v>42</v>
      </c>
      <c r="J39" s="1" t="s">
        <v>393</v>
      </c>
      <c r="K39" s="1" t="s">
        <v>719</v>
      </c>
      <c r="L39" s="1" t="s">
        <v>720</v>
      </c>
      <c r="M39" s="1"/>
      <c r="N39" s="1" t="s">
        <v>721</v>
      </c>
      <c r="O39" s="1">
        <v>675009742</v>
      </c>
      <c r="P39" s="1" t="s">
        <v>722</v>
      </c>
      <c r="Q39" s="1"/>
      <c r="R39" s="1"/>
      <c r="S39" s="1"/>
      <c r="T39" s="1" t="s">
        <v>723</v>
      </c>
    </row>
    <row r="40" spans="1:20" x14ac:dyDescent="0.25">
      <c r="A40" s="1" t="s">
        <v>724</v>
      </c>
      <c r="B40" s="1">
        <f t="shared" si="1"/>
        <v>39</v>
      </c>
      <c r="C40" s="1"/>
      <c r="D40" s="1"/>
      <c r="E40" s="2">
        <v>43558</v>
      </c>
      <c r="F40" s="2">
        <v>44440</v>
      </c>
      <c r="G40" s="2"/>
      <c r="H40" s="1" t="s">
        <v>725</v>
      </c>
      <c r="I40" s="1" t="s">
        <v>42</v>
      </c>
      <c r="J40" s="1" t="s">
        <v>393</v>
      </c>
      <c r="K40" s="1" t="s">
        <v>726</v>
      </c>
      <c r="L40" s="1" t="s">
        <v>727</v>
      </c>
      <c r="M40" s="1"/>
      <c r="N40" s="1" t="s">
        <v>728</v>
      </c>
      <c r="O40" s="1">
        <v>627249434</v>
      </c>
      <c r="P40" s="1" t="s">
        <v>211</v>
      </c>
      <c r="Q40" s="1"/>
      <c r="R40" s="1"/>
      <c r="S40" s="1"/>
      <c r="T40" s="1"/>
    </row>
    <row r="41" spans="1:20" x14ac:dyDescent="0.25">
      <c r="A41" s="1" t="s">
        <v>729</v>
      </c>
      <c r="B41" s="1">
        <f t="shared" si="1"/>
        <v>40</v>
      </c>
      <c r="C41" s="1"/>
      <c r="D41" s="1"/>
      <c r="E41" s="2">
        <v>43753</v>
      </c>
      <c r="F41" s="2">
        <v>44075</v>
      </c>
      <c r="G41" s="2"/>
      <c r="H41" s="1" t="s">
        <v>730</v>
      </c>
      <c r="I41" s="1" t="s">
        <v>407</v>
      </c>
      <c r="J41" s="1" t="s">
        <v>393</v>
      </c>
      <c r="K41" s="1" t="s">
        <v>731</v>
      </c>
      <c r="L41" s="1" t="s">
        <v>732</v>
      </c>
      <c r="M41" s="1"/>
      <c r="N41" s="1" t="s">
        <v>733</v>
      </c>
      <c r="O41" s="1">
        <v>605480560</v>
      </c>
      <c r="P41" s="1" t="s">
        <v>734</v>
      </c>
      <c r="Q41" s="1"/>
      <c r="R41" s="1" t="s">
        <v>82</v>
      </c>
      <c r="S41" s="1"/>
      <c r="T41" s="1"/>
    </row>
    <row r="42" spans="1:20" x14ac:dyDescent="0.25">
      <c r="A42" s="1" t="s">
        <v>735</v>
      </c>
      <c r="B42" s="1">
        <f t="shared" si="1"/>
        <v>41</v>
      </c>
      <c r="C42" s="1"/>
      <c r="D42" s="1"/>
      <c r="E42" s="2">
        <v>44137</v>
      </c>
      <c r="F42" s="2">
        <v>44440</v>
      </c>
      <c r="G42" s="2"/>
      <c r="H42" s="1" t="s">
        <v>736</v>
      </c>
      <c r="I42" s="1" t="s">
        <v>407</v>
      </c>
      <c r="J42" s="1" t="s">
        <v>393</v>
      </c>
      <c r="K42" s="1"/>
      <c r="L42" s="1" t="s">
        <v>737</v>
      </c>
      <c r="M42" s="1"/>
      <c r="N42" s="1" t="s">
        <v>738</v>
      </c>
      <c r="O42" s="1">
        <v>628760639</v>
      </c>
      <c r="P42" s="1" t="s">
        <v>559</v>
      </c>
      <c r="Q42" s="1"/>
      <c r="R42" s="1" t="s">
        <v>739</v>
      </c>
      <c r="S42" s="1"/>
      <c r="T42" s="1"/>
    </row>
    <row r="43" spans="1:20" x14ac:dyDescent="0.25">
      <c r="A43" s="1" t="s">
        <v>740</v>
      </c>
      <c r="B43" s="1">
        <f t="shared" si="1"/>
        <v>42</v>
      </c>
      <c r="C43" s="1"/>
      <c r="D43" s="1"/>
      <c r="E43" s="1" t="s">
        <v>491</v>
      </c>
      <c r="F43" s="2">
        <v>44105</v>
      </c>
      <c r="G43" s="2"/>
      <c r="H43" s="1" t="s">
        <v>741</v>
      </c>
      <c r="I43" s="1" t="s">
        <v>407</v>
      </c>
      <c r="J43" s="1" t="s">
        <v>742</v>
      </c>
      <c r="K43" s="1" t="s">
        <v>743</v>
      </c>
      <c r="L43" s="1" t="s">
        <v>744</v>
      </c>
      <c r="M43" s="1"/>
      <c r="N43" s="1" t="s">
        <v>745</v>
      </c>
      <c r="O43" s="1">
        <v>634459229</v>
      </c>
      <c r="P43" s="1" t="s">
        <v>566</v>
      </c>
      <c r="Q43" s="1"/>
      <c r="R43" s="1" t="s">
        <v>82</v>
      </c>
      <c r="S43" s="1" t="s">
        <v>534</v>
      </c>
      <c r="T43" s="1" t="s">
        <v>746</v>
      </c>
    </row>
    <row r="44" spans="1:20" x14ac:dyDescent="0.25">
      <c r="A44" s="1" t="s">
        <v>747</v>
      </c>
      <c r="B44" s="1">
        <f t="shared" si="1"/>
        <v>43</v>
      </c>
      <c r="C44" s="1"/>
      <c r="D44" s="1"/>
      <c r="E44" s="2">
        <v>44166</v>
      </c>
      <c r="F44" s="2">
        <v>44348</v>
      </c>
      <c r="G44" s="2"/>
      <c r="H44" s="1" t="s">
        <v>748</v>
      </c>
      <c r="I44" s="1" t="s">
        <v>151</v>
      </c>
      <c r="J44" s="1" t="s">
        <v>393</v>
      </c>
      <c r="K44" s="1" t="s">
        <v>749</v>
      </c>
      <c r="L44" s="1" t="s">
        <v>749</v>
      </c>
      <c r="M44" s="1"/>
      <c r="N44" s="1" t="s">
        <v>750</v>
      </c>
      <c r="O44" s="1">
        <v>688876986</v>
      </c>
      <c r="P44" s="1" t="s">
        <v>751</v>
      </c>
      <c r="Q44" s="1"/>
      <c r="R44" s="1"/>
      <c r="S44" s="1"/>
      <c r="T44" s="1" t="s">
        <v>747</v>
      </c>
    </row>
    <row r="45" spans="1:20" x14ac:dyDescent="0.25">
      <c r="A45" s="1" t="s">
        <v>752</v>
      </c>
      <c r="B45" s="1">
        <f t="shared" si="1"/>
        <v>44</v>
      </c>
      <c r="C45" s="1"/>
      <c r="D45" s="1"/>
      <c r="E45" s="2">
        <v>44166</v>
      </c>
      <c r="F45" s="2">
        <v>44348</v>
      </c>
      <c r="G45" s="2"/>
      <c r="H45" s="1" t="s">
        <v>753</v>
      </c>
      <c r="I45" s="1" t="s">
        <v>151</v>
      </c>
      <c r="J45" s="1" t="s">
        <v>393</v>
      </c>
      <c r="K45" s="1" t="s">
        <v>754</v>
      </c>
      <c r="L45" s="1"/>
      <c r="M45" s="1"/>
      <c r="N45" s="1" t="s">
        <v>755</v>
      </c>
      <c r="O45" s="1">
        <v>688880217</v>
      </c>
      <c r="P45" s="1" t="s">
        <v>751</v>
      </c>
      <c r="Q45" s="1"/>
      <c r="R45" s="1"/>
      <c r="S45" s="1"/>
      <c r="T45" s="1" t="s">
        <v>756</v>
      </c>
    </row>
    <row r="46" spans="1:20" x14ac:dyDescent="0.25">
      <c r="A46" s="1" t="s">
        <v>757</v>
      </c>
      <c r="B46" s="1">
        <f t="shared" si="1"/>
        <v>45</v>
      </c>
      <c r="C46" s="1"/>
      <c r="D46" s="1"/>
      <c r="E46" s="2">
        <v>44166</v>
      </c>
      <c r="F46" s="2">
        <v>44348</v>
      </c>
      <c r="G46" s="2"/>
      <c r="H46" s="1" t="s">
        <v>758</v>
      </c>
      <c r="I46" s="1" t="s">
        <v>151</v>
      </c>
      <c r="J46" s="1" t="s">
        <v>393</v>
      </c>
      <c r="K46" s="1" t="s">
        <v>759</v>
      </c>
      <c r="L46" s="1"/>
      <c r="M46" s="1"/>
      <c r="N46" s="1" t="s">
        <v>760</v>
      </c>
      <c r="O46" s="1">
        <v>610131937</v>
      </c>
      <c r="P46" s="1" t="s">
        <v>751</v>
      </c>
      <c r="Q46" s="1"/>
      <c r="R46" s="1"/>
      <c r="S46" s="1"/>
      <c r="T46" s="1" t="s">
        <v>761</v>
      </c>
    </row>
    <row r="47" spans="1:20" x14ac:dyDescent="0.25">
      <c r="A47" s="1" t="s">
        <v>762</v>
      </c>
      <c r="B47" s="1">
        <f t="shared" si="1"/>
        <v>46</v>
      </c>
      <c r="C47" s="1"/>
      <c r="D47" s="1"/>
      <c r="E47" s="2">
        <v>44166</v>
      </c>
      <c r="F47" s="2">
        <v>44348</v>
      </c>
      <c r="G47" s="2"/>
      <c r="H47" s="1" t="s">
        <v>763</v>
      </c>
      <c r="I47" s="1" t="s">
        <v>151</v>
      </c>
      <c r="J47" s="1" t="s">
        <v>393</v>
      </c>
      <c r="K47" s="1" t="s">
        <v>764</v>
      </c>
      <c r="L47" s="1"/>
      <c r="M47" s="1"/>
      <c r="N47" s="1" t="s">
        <v>765</v>
      </c>
      <c r="O47" s="1">
        <v>650547213</v>
      </c>
      <c r="P47" s="1" t="s">
        <v>751</v>
      </c>
      <c r="Q47" s="1"/>
      <c r="R47" s="1"/>
      <c r="S47" s="1"/>
      <c r="T47" s="1" t="s">
        <v>766</v>
      </c>
    </row>
    <row r="48" spans="1:20" x14ac:dyDescent="0.25">
      <c r="A48" s="1" t="s">
        <v>767</v>
      </c>
      <c r="B48" s="1">
        <f t="shared" si="1"/>
        <v>47</v>
      </c>
      <c r="C48" s="1"/>
      <c r="D48" s="1"/>
      <c r="E48" s="2">
        <v>44166</v>
      </c>
      <c r="F48" s="2">
        <v>44348</v>
      </c>
      <c r="G48" s="2"/>
      <c r="H48" s="1" t="s">
        <v>768</v>
      </c>
      <c r="I48" s="1" t="s">
        <v>151</v>
      </c>
      <c r="J48" s="1" t="s">
        <v>393</v>
      </c>
      <c r="K48" s="1" t="s">
        <v>769</v>
      </c>
      <c r="L48" s="1"/>
      <c r="M48" s="1"/>
      <c r="N48" s="1" t="s">
        <v>770</v>
      </c>
      <c r="O48" s="1">
        <v>688873167</v>
      </c>
      <c r="P48" s="1" t="s">
        <v>751</v>
      </c>
      <c r="Q48" s="1"/>
      <c r="R48" s="1"/>
      <c r="S48" s="1"/>
      <c r="T48" s="1" t="s">
        <v>771</v>
      </c>
    </row>
    <row r="49" spans="1:20" x14ac:dyDescent="0.25">
      <c r="A49" s="1" t="s">
        <v>772</v>
      </c>
      <c r="B49" s="1">
        <f t="shared" si="1"/>
        <v>48</v>
      </c>
      <c r="C49" s="1"/>
      <c r="D49" s="1"/>
      <c r="E49" s="2">
        <v>43913</v>
      </c>
      <c r="F49" s="2">
        <v>44409</v>
      </c>
      <c r="G49" s="2"/>
      <c r="H49" s="1" t="s">
        <v>773</v>
      </c>
      <c r="I49" s="1" t="s">
        <v>151</v>
      </c>
      <c r="J49" s="1" t="s">
        <v>393</v>
      </c>
      <c r="K49" s="1"/>
      <c r="L49" s="1" t="s">
        <v>774</v>
      </c>
      <c r="M49" s="1"/>
      <c r="N49" s="1" t="s">
        <v>775</v>
      </c>
      <c r="O49" s="1">
        <v>685345472</v>
      </c>
      <c r="P49" s="1" t="s">
        <v>509</v>
      </c>
      <c r="Q49" s="1"/>
      <c r="R49" s="1"/>
      <c r="S49" s="1"/>
      <c r="T49" s="1"/>
    </row>
    <row r="50" spans="1:20" x14ac:dyDescent="0.25">
      <c r="A50" s="1" t="s">
        <v>776</v>
      </c>
      <c r="B50" s="1">
        <f t="shared" si="1"/>
        <v>49</v>
      </c>
      <c r="C50" s="1"/>
      <c r="D50" s="1"/>
      <c r="E50" s="2">
        <v>43570</v>
      </c>
      <c r="F50" s="2">
        <v>44440</v>
      </c>
      <c r="G50" s="2"/>
      <c r="H50" s="1" t="s">
        <v>777</v>
      </c>
      <c r="I50" s="1" t="s">
        <v>151</v>
      </c>
      <c r="J50" s="1" t="s">
        <v>742</v>
      </c>
      <c r="K50" s="1" t="s">
        <v>778</v>
      </c>
      <c r="L50" s="1" t="s">
        <v>779</v>
      </c>
      <c r="M50" s="1"/>
      <c r="N50" s="1" t="s">
        <v>780</v>
      </c>
      <c r="O50" s="1">
        <v>617077444</v>
      </c>
      <c r="P50" s="1" t="s">
        <v>566</v>
      </c>
      <c r="Q50" s="1"/>
      <c r="R50" s="1" t="s">
        <v>82</v>
      </c>
      <c r="S50" s="1" t="s">
        <v>781</v>
      </c>
      <c r="T50" s="1" t="s">
        <v>782</v>
      </c>
    </row>
    <row r="51" spans="1:20" x14ac:dyDescent="0.25">
      <c r="A51" s="1" t="s">
        <v>783</v>
      </c>
      <c r="B51" s="1">
        <f t="shared" si="1"/>
        <v>50</v>
      </c>
      <c r="C51" s="1"/>
      <c r="D51" s="1"/>
      <c r="E51" s="2">
        <v>43878</v>
      </c>
      <c r="F51" s="2">
        <v>44470</v>
      </c>
      <c r="G51" s="2"/>
      <c r="H51" s="1" t="s">
        <v>784</v>
      </c>
      <c r="I51" s="1" t="s">
        <v>151</v>
      </c>
      <c r="J51" s="1" t="s">
        <v>393</v>
      </c>
      <c r="K51" s="1" t="s">
        <v>785</v>
      </c>
      <c r="L51" s="1" t="s">
        <v>786</v>
      </c>
      <c r="M51" s="1"/>
      <c r="N51" s="1" t="s">
        <v>787</v>
      </c>
      <c r="O51" s="1">
        <v>688680073</v>
      </c>
      <c r="P51" s="1" t="s">
        <v>788</v>
      </c>
      <c r="Q51" s="1"/>
      <c r="R51" s="1"/>
      <c r="S51" s="1" t="s">
        <v>789</v>
      </c>
      <c r="T51" s="1"/>
    </row>
    <row r="52" spans="1:20" x14ac:dyDescent="0.25">
      <c r="A52" s="1" t="s">
        <v>790</v>
      </c>
      <c r="B52" s="1">
        <f t="shared" si="1"/>
        <v>51</v>
      </c>
      <c r="C52" s="1"/>
      <c r="D52" s="1"/>
      <c r="E52" s="2">
        <v>43926</v>
      </c>
      <c r="F52" s="2">
        <v>44459</v>
      </c>
      <c r="G52" s="2"/>
      <c r="H52" s="1" t="s">
        <v>791</v>
      </c>
      <c r="I52" s="1" t="s">
        <v>483</v>
      </c>
      <c r="J52" s="1" t="s">
        <v>393</v>
      </c>
      <c r="K52" s="1"/>
      <c r="L52" s="1" t="s">
        <v>792</v>
      </c>
      <c r="M52" s="1"/>
      <c r="N52" s="1" t="s">
        <v>793</v>
      </c>
      <c r="O52" s="1">
        <v>681396560</v>
      </c>
      <c r="P52" s="1" t="s">
        <v>100</v>
      </c>
      <c r="Q52" s="1"/>
      <c r="R52" s="1"/>
      <c r="S52" s="1"/>
      <c r="T52" s="1"/>
    </row>
    <row r="53" spans="1:20" x14ac:dyDescent="0.25">
      <c r="A53" s="1" t="s">
        <v>794</v>
      </c>
      <c r="B53" s="1">
        <f t="shared" si="1"/>
        <v>52</v>
      </c>
      <c r="C53" s="1"/>
      <c r="D53" s="1"/>
      <c r="E53" s="2">
        <v>44127</v>
      </c>
      <c r="F53" s="2">
        <v>44381</v>
      </c>
      <c r="G53" s="2"/>
      <c r="H53" s="1" t="s">
        <v>795</v>
      </c>
      <c r="I53" s="1" t="s">
        <v>421</v>
      </c>
      <c r="J53" s="1" t="s">
        <v>393</v>
      </c>
      <c r="K53" s="1"/>
      <c r="L53" s="1" t="s">
        <v>796</v>
      </c>
      <c r="M53" s="1"/>
      <c r="N53" s="1" t="s">
        <v>797</v>
      </c>
      <c r="O53" s="1">
        <v>687658172</v>
      </c>
      <c r="P53" s="1" t="s">
        <v>509</v>
      </c>
      <c r="Q53" s="1"/>
      <c r="R53" s="1"/>
      <c r="S53" s="1"/>
      <c r="T53" s="1"/>
    </row>
    <row r="54" spans="1:20" x14ac:dyDescent="0.25">
      <c r="A54" s="1" t="s">
        <v>798</v>
      </c>
      <c r="B54" s="1">
        <f t="shared" si="1"/>
        <v>53</v>
      </c>
      <c r="C54" s="1"/>
      <c r="D54" s="1"/>
      <c r="E54" s="2">
        <v>44109</v>
      </c>
      <c r="F54" s="2">
        <v>44440</v>
      </c>
      <c r="G54" s="2"/>
      <c r="H54" s="1" t="s">
        <v>799</v>
      </c>
      <c r="I54" s="1" t="s">
        <v>151</v>
      </c>
      <c r="J54" s="1" t="s">
        <v>393</v>
      </c>
      <c r="K54" s="1" t="s">
        <v>800</v>
      </c>
      <c r="L54" s="1"/>
      <c r="M54" s="1"/>
      <c r="N54" s="1" t="s">
        <v>801</v>
      </c>
      <c r="O54" s="1">
        <v>651427081</v>
      </c>
      <c r="P54" s="1" t="s">
        <v>802</v>
      </c>
      <c r="Q54" s="1"/>
      <c r="R54" s="1"/>
      <c r="S54" s="1"/>
      <c r="T54" s="1"/>
    </row>
    <row r="55" spans="1:20" x14ac:dyDescent="0.25">
      <c r="A55" s="1" t="s">
        <v>803</v>
      </c>
      <c r="B55" s="1">
        <f t="shared" si="1"/>
        <v>54</v>
      </c>
      <c r="C55" s="1"/>
      <c r="D55" s="1"/>
      <c r="E55" s="2">
        <v>44229</v>
      </c>
      <c r="F55" s="2">
        <v>44440</v>
      </c>
      <c r="G55" s="2"/>
      <c r="H55" s="1" t="s">
        <v>804</v>
      </c>
      <c r="I55" s="1" t="s">
        <v>421</v>
      </c>
      <c r="J55" s="1" t="s">
        <v>393</v>
      </c>
      <c r="K55" s="1" t="s">
        <v>805</v>
      </c>
      <c r="L55" s="1"/>
      <c r="M55" s="1"/>
      <c r="N55" s="1"/>
      <c r="O55" s="1">
        <v>676087482</v>
      </c>
      <c r="P55" s="1" t="s">
        <v>574</v>
      </c>
      <c r="Q55" s="1"/>
      <c r="R55" s="1" t="s">
        <v>806</v>
      </c>
      <c r="S55" s="1"/>
      <c r="T55" s="1" t="s">
        <v>803</v>
      </c>
    </row>
    <row r="56" spans="1:20" x14ac:dyDescent="0.25">
      <c r="A56" s="1" t="s">
        <v>807</v>
      </c>
      <c r="B56" s="1">
        <f t="shared" si="1"/>
        <v>55</v>
      </c>
      <c r="C56" s="1"/>
      <c r="D56" s="1"/>
      <c r="E56" s="2">
        <v>44250</v>
      </c>
      <c r="F56" s="2">
        <v>44454</v>
      </c>
      <c r="G56" s="2"/>
      <c r="H56" s="1" t="s">
        <v>808</v>
      </c>
      <c r="I56" s="1" t="s">
        <v>483</v>
      </c>
      <c r="J56" s="1" t="s">
        <v>393</v>
      </c>
      <c r="K56" s="1"/>
      <c r="L56" s="1"/>
      <c r="M56" s="1"/>
      <c r="N56" s="1"/>
      <c r="O56" s="1"/>
      <c r="P56" s="1" t="s">
        <v>809</v>
      </c>
      <c r="Q56" s="1"/>
      <c r="R56" s="1"/>
      <c r="S56" s="1"/>
      <c r="T56" s="1"/>
    </row>
    <row r="57" spans="1:20" x14ac:dyDescent="0.25">
      <c r="A57" s="1" t="s">
        <v>810</v>
      </c>
      <c r="B57" s="1">
        <f t="shared" si="1"/>
        <v>56</v>
      </c>
      <c r="C57" s="1"/>
      <c r="D57" s="1"/>
      <c r="E57" s="2">
        <v>44076</v>
      </c>
      <c r="F57" s="2">
        <v>44440</v>
      </c>
      <c r="G57" s="2"/>
      <c r="H57" s="1" t="s">
        <v>811</v>
      </c>
      <c r="I57" s="1" t="s">
        <v>483</v>
      </c>
      <c r="J57" s="1" t="s">
        <v>393</v>
      </c>
      <c r="K57" s="1" t="s">
        <v>812</v>
      </c>
      <c r="L57" s="1" t="s">
        <v>813</v>
      </c>
      <c r="M57" s="1"/>
      <c r="N57" s="1" t="s">
        <v>814</v>
      </c>
      <c r="O57" s="1">
        <v>633222630</v>
      </c>
      <c r="P57" s="1" t="s">
        <v>815</v>
      </c>
      <c r="Q57" s="1"/>
      <c r="R57" s="1"/>
      <c r="S57" s="1"/>
      <c r="T57" s="1" t="s">
        <v>816</v>
      </c>
    </row>
    <row r="58" spans="1:20" x14ac:dyDescent="0.25">
      <c r="A58" s="1" t="s">
        <v>817</v>
      </c>
      <c r="B58" s="1">
        <f t="shared" si="1"/>
        <v>57</v>
      </c>
      <c r="C58" s="1"/>
      <c r="D58" s="1"/>
      <c r="E58" s="2">
        <v>44105</v>
      </c>
      <c r="F58" s="2">
        <v>44470</v>
      </c>
      <c r="G58" s="2"/>
      <c r="H58" s="1" t="s">
        <v>818</v>
      </c>
      <c r="I58" s="1" t="s">
        <v>151</v>
      </c>
      <c r="J58" s="1" t="s">
        <v>393</v>
      </c>
      <c r="K58" s="1" t="s">
        <v>819</v>
      </c>
      <c r="L58" s="1"/>
      <c r="M58" s="1"/>
      <c r="N58" s="1" t="s">
        <v>820</v>
      </c>
      <c r="O58" s="1">
        <v>628699225</v>
      </c>
      <c r="P58" s="1" t="s">
        <v>751</v>
      </c>
      <c r="Q58" s="1"/>
      <c r="R58" s="1"/>
      <c r="S58" s="1"/>
      <c r="T58" s="1" t="s">
        <v>821</v>
      </c>
    </row>
    <row r="59" spans="1:20" x14ac:dyDescent="0.25">
      <c r="A59" s="1" t="s">
        <v>822</v>
      </c>
      <c r="B59" s="1">
        <f t="shared" si="1"/>
        <v>58</v>
      </c>
      <c r="C59" s="1"/>
      <c r="D59" s="1"/>
      <c r="E59" s="2">
        <v>43437</v>
      </c>
      <c r="F59" s="2">
        <v>44205</v>
      </c>
      <c r="G59" s="2"/>
      <c r="H59" s="1" t="s">
        <v>823</v>
      </c>
      <c r="I59" s="1" t="s">
        <v>483</v>
      </c>
      <c r="J59" s="1" t="s">
        <v>393</v>
      </c>
      <c r="K59" s="1" t="s">
        <v>812</v>
      </c>
      <c r="L59" s="1" t="s">
        <v>824</v>
      </c>
      <c r="M59" s="1"/>
      <c r="N59" s="1" t="s">
        <v>825</v>
      </c>
      <c r="O59" s="1">
        <v>688687879</v>
      </c>
      <c r="P59" s="1" t="s">
        <v>663</v>
      </c>
      <c r="Q59" s="1"/>
      <c r="R59" s="1" t="s">
        <v>509</v>
      </c>
      <c r="S59" s="1"/>
      <c r="T59" s="1" t="s">
        <v>826</v>
      </c>
    </row>
    <row r="60" spans="1:20" x14ac:dyDescent="0.25">
      <c r="A60" s="1" t="s">
        <v>827</v>
      </c>
      <c r="B60" s="1">
        <f t="shared" si="1"/>
        <v>59</v>
      </c>
      <c r="C60" s="1"/>
      <c r="D60" s="1"/>
      <c r="E60" s="2">
        <v>43564</v>
      </c>
      <c r="F60" s="2">
        <v>44572</v>
      </c>
      <c r="G60" s="2"/>
      <c r="H60" s="1" t="s">
        <v>828</v>
      </c>
      <c r="I60" s="1" t="s">
        <v>42</v>
      </c>
      <c r="J60" s="1" t="s">
        <v>393</v>
      </c>
      <c r="K60" s="1" t="s">
        <v>829</v>
      </c>
      <c r="L60" s="1" t="s">
        <v>830</v>
      </c>
      <c r="M60" s="1"/>
      <c r="N60" s="1" t="s">
        <v>831</v>
      </c>
      <c r="O60" s="1">
        <v>688647670</v>
      </c>
      <c r="P60" s="1" t="s">
        <v>832</v>
      </c>
      <c r="Q60" s="1"/>
      <c r="R60" s="1"/>
      <c r="S60" s="1"/>
      <c r="T60" s="1" t="s">
        <v>833</v>
      </c>
    </row>
    <row r="61" spans="1:20" x14ac:dyDescent="0.25">
      <c r="A61" s="1" t="s">
        <v>834</v>
      </c>
      <c r="B61" s="1">
        <f t="shared" si="1"/>
        <v>60</v>
      </c>
      <c r="C61" s="1"/>
      <c r="D61" s="1"/>
      <c r="E61" s="2">
        <v>44482</v>
      </c>
      <c r="F61" s="2">
        <v>44595</v>
      </c>
      <c r="G61" s="2"/>
      <c r="H61" s="1" t="s">
        <v>835</v>
      </c>
      <c r="I61" s="1" t="s">
        <v>42</v>
      </c>
      <c r="J61" s="1" t="s">
        <v>393</v>
      </c>
      <c r="K61" s="1" t="s">
        <v>836</v>
      </c>
      <c r="L61" s="1" t="s">
        <v>837</v>
      </c>
      <c r="M61" s="1"/>
      <c r="N61" s="1" t="s">
        <v>838</v>
      </c>
      <c r="O61" s="1">
        <v>620206036</v>
      </c>
      <c r="P61" s="1" t="s">
        <v>211</v>
      </c>
      <c r="Q61" s="1"/>
      <c r="R61" s="1"/>
      <c r="S61" s="1"/>
      <c r="T61" s="1"/>
    </row>
    <row r="62" spans="1:20" x14ac:dyDescent="0.25">
      <c r="A62" s="1" t="s">
        <v>839</v>
      </c>
      <c r="B62" s="1">
        <f t="shared" si="1"/>
        <v>61</v>
      </c>
      <c r="C62" s="1"/>
      <c r="D62" s="1"/>
      <c r="E62" s="2">
        <v>44062</v>
      </c>
      <c r="F62" s="2">
        <v>44598</v>
      </c>
      <c r="G62" s="2"/>
      <c r="H62" s="1" t="s">
        <v>840</v>
      </c>
      <c r="I62" s="1" t="s">
        <v>42</v>
      </c>
      <c r="J62" s="1" t="s">
        <v>393</v>
      </c>
      <c r="K62" s="1"/>
      <c r="L62" s="1" t="s">
        <v>841</v>
      </c>
      <c r="M62" s="1"/>
      <c r="N62" s="1" t="s">
        <v>842</v>
      </c>
      <c r="O62" s="1">
        <v>628767683</v>
      </c>
      <c r="P62" s="1" t="s">
        <v>121</v>
      </c>
      <c r="Q62" s="1"/>
      <c r="R62" s="1" t="s">
        <v>843</v>
      </c>
      <c r="S62" s="1"/>
      <c r="T62" s="1" t="s">
        <v>844</v>
      </c>
    </row>
    <row r="63" spans="1:20" x14ac:dyDescent="0.25">
      <c r="A63" s="1"/>
      <c r="B63" s="1">
        <f t="shared" si="1"/>
        <v>62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845</v>
      </c>
      <c r="S63" s="1"/>
      <c r="T63" s="1"/>
    </row>
    <row r="64" spans="1:20" x14ac:dyDescent="0.25">
      <c r="A64" s="1" t="s">
        <v>846</v>
      </c>
      <c r="B64" s="1">
        <f t="shared" si="1"/>
        <v>63</v>
      </c>
      <c r="C64" s="1"/>
      <c r="D64" s="1"/>
      <c r="E64" s="2">
        <v>43738</v>
      </c>
      <c r="F64" s="2">
        <v>44440</v>
      </c>
      <c r="G64" s="2"/>
      <c r="H64" s="1" t="s">
        <v>847</v>
      </c>
      <c r="I64" s="1" t="s">
        <v>87</v>
      </c>
      <c r="J64" s="1" t="s">
        <v>393</v>
      </c>
      <c r="K64" s="1" t="s">
        <v>848</v>
      </c>
      <c r="L64" s="1" t="s">
        <v>849</v>
      </c>
      <c r="M64" s="1"/>
      <c r="N64" s="1" t="s">
        <v>850</v>
      </c>
      <c r="O64" s="1">
        <v>697962933</v>
      </c>
      <c r="P64" s="1" t="s">
        <v>509</v>
      </c>
      <c r="Q64" s="1"/>
      <c r="R64" s="1"/>
      <c r="S64" s="1"/>
      <c r="T64" s="1" t="s">
        <v>851</v>
      </c>
    </row>
    <row r="65" spans="1:20" x14ac:dyDescent="0.25">
      <c r="A65" s="1" t="s">
        <v>852</v>
      </c>
      <c r="B65" s="1">
        <f t="shared" si="1"/>
        <v>64</v>
      </c>
      <c r="C65" s="1"/>
      <c r="D65" s="1"/>
      <c r="E65" s="2">
        <v>43753</v>
      </c>
      <c r="F65" s="2">
        <v>44440</v>
      </c>
      <c r="G65" s="2"/>
      <c r="H65" s="1" t="s">
        <v>853</v>
      </c>
      <c r="I65" s="1" t="s">
        <v>407</v>
      </c>
      <c r="J65" s="1" t="s">
        <v>393</v>
      </c>
      <c r="K65" s="1" t="s">
        <v>854</v>
      </c>
      <c r="L65" s="1" t="s">
        <v>855</v>
      </c>
      <c r="M65" s="1"/>
      <c r="N65" s="1" t="s">
        <v>856</v>
      </c>
      <c r="O65" s="1">
        <v>669208390</v>
      </c>
      <c r="P65" s="1" t="s">
        <v>857</v>
      </c>
      <c r="Q65" s="1"/>
      <c r="R65" s="1" t="s">
        <v>82</v>
      </c>
      <c r="S65" s="1"/>
      <c r="T65" s="1" t="s">
        <v>858</v>
      </c>
    </row>
    <row r="66" spans="1:20" x14ac:dyDescent="0.25">
      <c r="A66" s="1" t="s">
        <v>859</v>
      </c>
      <c r="B66" s="1">
        <f t="shared" si="1"/>
        <v>65</v>
      </c>
      <c r="C66" s="1"/>
      <c r="D66" s="1"/>
      <c r="E66" s="2">
        <v>44692</v>
      </c>
      <c r="F66" s="1"/>
      <c r="G66" s="1"/>
      <c r="H66" s="1" t="s">
        <v>860</v>
      </c>
      <c r="I66" s="1" t="s">
        <v>42</v>
      </c>
      <c r="J66" s="1" t="s">
        <v>393</v>
      </c>
      <c r="K66" s="1" t="s">
        <v>861</v>
      </c>
      <c r="L66" s="1"/>
      <c r="M66" s="1"/>
      <c r="N66" s="1"/>
      <c r="O66" s="1">
        <v>644363990</v>
      </c>
      <c r="P66" s="1" t="s">
        <v>260</v>
      </c>
      <c r="Q66" s="1"/>
      <c r="R66" s="1"/>
      <c r="S66" s="1"/>
      <c r="T66" s="1" t="s">
        <v>862</v>
      </c>
    </row>
    <row r="67" spans="1:20" x14ac:dyDescent="0.25">
      <c r="A67" s="1" t="s">
        <v>426</v>
      </c>
      <c r="B67" s="1">
        <f t="shared" ref="B67:B98" si="2">B66+1</f>
        <v>66</v>
      </c>
      <c r="C67" s="1"/>
      <c r="D67" s="1"/>
      <c r="E67" s="2">
        <v>44482</v>
      </c>
      <c r="F67" s="2">
        <v>44612</v>
      </c>
      <c r="G67" s="2"/>
      <c r="H67" s="1" t="s">
        <v>427</v>
      </c>
      <c r="I67" s="1" t="s">
        <v>42</v>
      </c>
      <c r="J67" s="1" t="s">
        <v>393</v>
      </c>
      <c r="K67" s="1" t="s">
        <v>428</v>
      </c>
      <c r="L67" s="1"/>
      <c r="M67" s="1"/>
      <c r="N67" s="1" t="s">
        <v>429</v>
      </c>
      <c r="O67" s="1">
        <v>659122077</v>
      </c>
      <c r="P67" s="1" t="s">
        <v>425</v>
      </c>
      <c r="Q67" s="1"/>
      <c r="R67" s="1" t="s">
        <v>430</v>
      </c>
      <c r="S67" s="1" t="s">
        <v>546</v>
      </c>
      <c r="T67" s="1" t="s">
        <v>863</v>
      </c>
    </row>
    <row r="68" spans="1:20" x14ac:dyDescent="0.25">
      <c r="A68" s="1" t="s">
        <v>864</v>
      </c>
      <c r="B68" s="1">
        <f t="shared" si="2"/>
        <v>67</v>
      </c>
      <c r="C68" s="1"/>
      <c r="D68" s="1"/>
      <c r="E68" s="2">
        <v>43564</v>
      </c>
      <c r="F68" s="2">
        <v>43625</v>
      </c>
      <c r="G68" s="2"/>
      <c r="H68" s="1" t="s">
        <v>865</v>
      </c>
      <c r="I68" s="1" t="s">
        <v>42</v>
      </c>
      <c r="J68" s="1" t="s">
        <v>393</v>
      </c>
      <c r="K68" s="1" t="s">
        <v>866</v>
      </c>
      <c r="L68" s="1" t="s">
        <v>867</v>
      </c>
      <c r="M68" s="1"/>
      <c r="N68" s="1" t="s">
        <v>868</v>
      </c>
      <c r="O68" s="1">
        <v>634433968</v>
      </c>
      <c r="P68" s="1" t="s">
        <v>260</v>
      </c>
      <c r="Q68" s="1"/>
      <c r="R68" s="1"/>
      <c r="S68" s="1" t="s">
        <v>546</v>
      </c>
      <c r="T68" s="1"/>
    </row>
    <row r="69" spans="1:20" x14ac:dyDescent="0.25">
      <c r="A69" s="1" t="s">
        <v>869</v>
      </c>
      <c r="B69" s="1">
        <f t="shared" si="2"/>
        <v>68</v>
      </c>
      <c r="C69" s="1"/>
      <c r="D69" s="1"/>
      <c r="E69" s="2">
        <v>44250</v>
      </c>
      <c r="F69" s="1" t="s">
        <v>870</v>
      </c>
      <c r="G69" s="1"/>
      <c r="H69" s="1" t="s">
        <v>871</v>
      </c>
      <c r="I69" s="1" t="s">
        <v>421</v>
      </c>
      <c r="J69" s="1" t="s">
        <v>393</v>
      </c>
      <c r="K69" s="1" t="s">
        <v>872</v>
      </c>
      <c r="L69" s="1"/>
      <c r="M69" s="1"/>
      <c r="N69" s="1" t="s">
        <v>873</v>
      </c>
      <c r="O69" s="1">
        <v>625859900</v>
      </c>
      <c r="P69" s="1" t="s">
        <v>874</v>
      </c>
      <c r="Q69" s="1"/>
      <c r="R69" s="1"/>
      <c r="S69" s="1" t="s">
        <v>651</v>
      </c>
      <c r="T69" s="1" t="s">
        <v>875</v>
      </c>
    </row>
    <row r="70" spans="1:20" x14ac:dyDescent="0.25">
      <c r="A70" s="1" t="s">
        <v>876</v>
      </c>
      <c r="B70" s="1">
        <f t="shared" si="2"/>
        <v>69</v>
      </c>
      <c r="C70" s="1"/>
      <c r="D70" s="1"/>
      <c r="E70" s="2">
        <v>43375</v>
      </c>
      <c r="F70" s="2">
        <v>44805</v>
      </c>
      <c r="G70" s="2"/>
      <c r="H70" s="1" t="s">
        <v>877</v>
      </c>
      <c r="I70" s="1" t="s">
        <v>87</v>
      </c>
      <c r="J70" s="1" t="s">
        <v>393</v>
      </c>
      <c r="K70" s="1" t="s">
        <v>878</v>
      </c>
      <c r="L70" s="1" t="s">
        <v>879</v>
      </c>
      <c r="M70" s="1"/>
      <c r="N70" s="1" t="s">
        <v>880</v>
      </c>
      <c r="O70" s="1"/>
      <c r="P70" s="1" t="s">
        <v>857</v>
      </c>
      <c r="Q70" s="1"/>
      <c r="R70" s="1" t="s">
        <v>509</v>
      </c>
      <c r="S70" s="1"/>
      <c r="T70" s="1"/>
    </row>
    <row r="71" spans="1:20" x14ac:dyDescent="0.25">
      <c r="A71" s="1" t="s">
        <v>881</v>
      </c>
      <c r="B71" s="1">
        <f t="shared" si="2"/>
        <v>70</v>
      </c>
      <c r="C71" s="1"/>
      <c r="D71" s="1"/>
      <c r="E71" s="2">
        <v>44487</v>
      </c>
      <c r="F71" s="2">
        <v>44805</v>
      </c>
      <c r="G71" s="2"/>
      <c r="H71" s="1" t="s">
        <v>882</v>
      </c>
      <c r="I71" s="1" t="s">
        <v>151</v>
      </c>
      <c r="J71" s="1" t="s">
        <v>393</v>
      </c>
      <c r="K71" s="1" t="s">
        <v>883</v>
      </c>
      <c r="L71" s="1"/>
      <c r="M71" s="1"/>
      <c r="N71" s="1" t="s">
        <v>884</v>
      </c>
      <c r="O71" s="1">
        <v>652146499</v>
      </c>
      <c r="P71" s="1" t="s">
        <v>82</v>
      </c>
      <c r="Q71" s="1"/>
      <c r="R71" s="1"/>
      <c r="S71" s="1"/>
      <c r="T71" s="1"/>
    </row>
    <row r="72" spans="1:20" x14ac:dyDescent="0.25">
      <c r="A72" s="1" t="s">
        <v>885</v>
      </c>
      <c r="B72" s="1">
        <f t="shared" si="2"/>
        <v>71</v>
      </c>
      <c r="C72" s="1"/>
      <c r="D72" s="1"/>
      <c r="E72" s="2">
        <v>44487</v>
      </c>
      <c r="F72" s="2">
        <v>44805</v>
      </c>
      <c r="G72" s="2"/>
      <c r="H72" s="1" t="s">
        <v>886</v>
      </c>
      <c r="I72" s="1" t="s">
        <v>151</v>
      </c>
      <c r="J72" s="1" t="s">
        <v>393</v>
      </c>
      <c r="K72" s="1"/>
      <c r="L72" s="1"/>
      <c r="M72" s="1"/>
      <c r="N72" s="1"/>
      <c r="O72" s="1">
        <v>667014110</v>
      </c>
      <c r="P72" s="1" t="s">
        <v>751</v>
      </c>
      <c r="Q72" s="1"/>
      <c r="R72" s="1"/>
      <c r="S72" s="1"/>
      <c r="T72" s="1"/>
    </row>
    <row r="73" spans="1:20" x14ac:dyDescent="0.25">
      <c r="A73" s="1" t="s">
        <v>887</v>
      </c>
      <c r="B73" s="1">
        <f t="shared" si="2"/>
        <v>72</v>
      </c>
      <c r="C73" s="1"/>
      <c r="D73" s="1"/>
      <c r="E73" s="2">
        <v>44208</v>
      </c>
      <c r="F73" s="2">
        <v>44805</v>
      </c>
      <c r="G73" s="2"/>
      <c r="H73" s="1" t="s">
        <v>888</v>
      </c>
      <c r="I73" s="1" t="s">
        <v>151</v>
      </c>
      <c r="J73" s="1" t="s">
        <v>393</v>
      </c>
      <c r="K73" s="1"/>
      <c r="L73" s="1"/>
      <c r="M73" s="1"/>
      <c r="N73" s="1" t="s">
        <v>889</v>
      </c>
      <c r="O73" s="1"/>
      <c r="P73" s="1" t="s">
        <v>890</v>
      </c>
      <c r="Q73" s="1"/>
      <c r="R73" s="1"/>
      <c r="S73" s="1"/>
      <c r="T73" s="1"/>
    </row>
    <row r="74" spans="1:20" x14ac:dyDescent="0.25">
      <c r="A74" s="1" t="s">
        <v>891</v>
      </c>
      <c r="B74" s="1">
        <f t="shared" si="2"/>
        <v>73</v>
      </c>
      <c r="C74" s="1"/>
      <c r="D74" s="1"/>
      <c r="E74" s="2">
        <v>44281</v>
      </c>
      <c r="F74" s="1"/>
      <c r="G74" s="1"/>
      <c r="H74" s="1" t="s">
        <v>892</v>
      </c>
      <c r="I74" s="1" t="s">
        <v>421</v>
      </c>
      <c r="J74" s="1" t="s">
        <v>393</v>
      </c>
      <c r="K74" s="1"/>
      <c r="L74" s="1" t="s">
        <v>893</v>
      </c>
      <c r="M74" s="1"/>
      <c r="N74" s="1" t="s">
        <v>894</v>
      </c>
      <c r="O74" s="1">
        <v>727760716</v>
      </c>
      <c r="P74" s="1" t="s">
        <v>224</v>
      </c>
      <c r="Q74" s="1"/>
      <c r="R74" s="1"/>
      <c r="S74" s="1"/>
      <c r="T74" s="1"/>
    </row>
    <row r="75" spans="1:20" x14ac:dyDescent="0.25">
      <c r="A75" s="1" t="s">
        <v>895</v>
      </c>
      <c r="B75" s="1">
        <f t="shared" si="2"/>
        <v>74</v>
      </c>
      <c r="C75" s="1"/>
      <c r="D75" s="1"/>
      <c r="E75" s="2">
        <v>44483</v>
      </c>
      <c r="F75" s="1"/>
      <c r="G75" s="1"/>
      <c r="H75" s="1" t="s">
        <v>896</v>
      </c>
      <c r="I75" s="1" t="s">
        <v>421</v>
      </c>
      <c r="J75" s="1" t="s">
        <v>393</v>
      </c>
      <c r="K75" s="1"/>
      <c r="L75" s="1"/>
      <c r="M75" s="1"/>
      <c r="N75" s="1" t="s">
        <v>897</v>
      </c>
      <c r="O75" s="1">
        <v>644391725</v>
      </c>
      <c r="P75" s="1" t="s">
        <v>898</v>
      </c>
      <c r="Q75" s="1"/>
      <c r="R75" s="1"/>
      <c r="S75" s="1"/>
      <c r="T75" s="1"/>
    </row>
    <row r="76" spans="1:20" x14ac:dyDescent="0.25">
      <c r="A76" s="1" t="s">
        <v>899</v>
      </c>
      <c r="B76" s="1">
        <f t="shared" si="2"/>
        <v>75</v>
      </c>
      <c r="C76" s="1"/>
      <c r="D76" s="1"/>
      <c r="E76" s="2">
        <v>43430</v>
      </c>
      <c r="F76" s="1"/>
      <c r="G76" s="1"/>
      <c r="H76" s="1" t="s">
        <v>900</v>
      </c>
      <c r="I76" s="1" t="s">
        <v>483</v>
      </c>
      <c r="J76" s="1" t="s">
        <v>393</v>
      </c>
      <c r="K76" s="1" t="s">
        <v>901</v>
      </c>
      <c r="L76" s="1" t="s">
        <v>902</v>
      </c>
      <c r="M76" s="1"/>
      <c r="N76" s="1" t="s">
        <v>903</v>
      </c>
      <c r="O76" s="1"/>
      <c r="P76" s="1" t="s">
        <v>517</v>
      </c>
      <c r="Q76" s="1"/>
      <c r="R76" s="1" t="s">
        <v>509</v>
      </c>
      <c r="S76" s="1" t="s">
        <v>546</v>
      </c>
      <c r="T76" s="1" t="s">
        <v>904</v>
      </c>
    </row>
    <row r="77" spans="1:20" x14ac:dyDescent="0.25">
      <c r="A77" s="1" t="s">
        <v>905</v>
      </c>
      <c r="B77" s="1">
        <f t="shared" si="2"/>
        <v>76</v>
      </c>
      <c r="C77" s="1"/>
      <c r="D77" s="1"/>
      <c r="E77" s="2">
        <v>43738</v>
      </c>
      <c r="F77" s="2">
        <v>43787</v>
      </c>
      <c r="G77" s="2"/>
      <c r="H77" s="1" t="s">
        <v>906</v>
      </c>
      <c r="I77" s="1" t="s">
        <v>87</v>
      </c>
      <c r="J77" s="1" t="s">
        <v>393</v>
      </c>
      <c r="K77" s="1" t="s">
        <v>907</v>
      </c>
      <c r="L77" s="1" t="s">
        <v>908</v>
      </c>
      <c r="M77" s="1"/>
      <c r="N77" s="1" t="s">
        <v>909</v>
      </c>
      <c r="O77" s="1">
        <v>654269134</v>
      </c>
      <c r="P77" s="1" t="s">
        <v>857</v>
      </c>
      <c r="Q77" s="1"/>
      <c r="R77" s="1" t="s">
        <v>82</v>
      </c>
      <c r="S77" s="1"/>
      <c r="T77" s="1" t="s">
        <v>910</v>
      </c>
    </row>
    <row r="78" spans="1:20" x14ac:dyDescent="0.25">
      <c r="A78" s="1" t="s">
        <v>911</v>
      </c>
      <c r="B78" s="1">
        <f t="shared" si="2"/>
        <v>77</v>
      </c>
      <c r="C78" s="1"/>
      <c r="D78" s="1"/>
      <c r="E78" s="2">
        <v>43913</v>
      </c>
      <c r="F78" s="1"/>
      <c r="G78" s="1"/>
      <c r="H78" s="1" t="s">
        <v>912</v>
      </c>
      <c r="I78" s="1" t="s">
        <v>421</v>
      </c>
      <c r="J78" s="1" t="s">
        <v>393</v>
      </c>
      <c r="K78" s="1"/>
      <c r="L78" s="1" t="s">
        <v>913</v>
      </c>
      <c r="M78" s="1"/>
      <c r="N78" s="1" t="s">
        <v>914</v>
      </c>
      <c r="O78" s="1">
        <v>648689646</v>
      </c>
      <c r="P78" s="1" t="s">
        <v>509</v>
      </c>
      <c r="Q78" s="1"/>
      <c r="R78" s="1"/>
      <c r="S78" s="1"/>
      <c r="T78" s="1"/>
    </row>
    <row r="79" spans="1:20" x14ac:dyDescent="0.25">
      <c r="A79" s="1" t="s">
        <v>915</v>
      </c>
      <c r="B79" s="1">
        <f t="shared" si="2"/>
        <v>78</v>
      </c>
      <c r="C79" s="1"/>
      <c r="D79" s="1"/>
      <c r="E79" s="2">
        <v>43912</v>
      </c>
      <c r="F79" s="1"/>
      <c r="G79" s="1"/>
      <c r="H79" s="1" t="s">
        <v>916</v>
      </c>
      <c r="I79" s="1" t="s">
        <v>483</v>
      </c>
      <c r="J79" s="1" t="s">
        <v>393</v>
      </c>
      <c r="K79" s="1"/>
      <c r="L79" s="1" t="s">
        <v>917</v>
      </c>
      <c r="M79" s="1"/>
      <c r="N79" s="1" t="s">
        <v>918</v>
      </c>
      <c r="O79" s="1">
        <v>644599991</v>
      </c>
      <c r="P79" s="1" t="s">
        <v>509</v>
      </c>
      <c r="Q79" s="1"/>
      <c r="R79" s="1"/>
      <c r="S79" s="1"/>
      <c r="T79" s="1"/>
    </row>
    <row r="80" spans="1:20" x14ac:dyDescent="0.25">
      <c r="A80" s="1" t="s">
        <v>919</v>
      </c>
      <c r="B80" s="1">
        <f t="shared" si="2"/>
        <v>79</v>
      </c>
      <c r="C80" s="1"/>
      <c r="D80" s="1"/>
      <c r="E80" s="2">
        <v>43913</v>
      </c>
      <c r="F80" s="1"/>
      <c r="G80" s="1"/>
      <c r="H80" s="1" t="s">
        <v>920</v>
      </c>
      <c r="I80" s="1" t="s">
        <v>407</v>
      </c>
      <c r="J80" s="1" t="s">
        <v>393</v>
      </c>
      <c r="K80" s="1"/>
      <c r="L80" s="1" t="s">
        <v>921</v>
      </c>
      <c r="M80" s="1"/>
      <c r="N80" s="1" t="s">
        <v>922</v>
      </c>
      <c r="O80" s="1">
        <v>635373190</v>
      </c>
      <c r="P80" s="1" t="s">
        <v>722</v>
      </c>
      <c r="Q80" s="1"/>
      <c r="R80" s="1"/>
      <c r="S80" s="1" t="s">
        <v>923</v>
      </c>
      <c r="T80" s="1" t="s">
        <v>924</v>
      </c>
    </row>
    <row r="81" spans="1:20" x14ac:dyDescent="0.25">
      <c r="A81" s="1" t="s">
        <v>925</v>
      </c>
      <c r="B81" s="1">
        <f t="shared" si="2"/>
        <v>80</v>
      </c>
      <c r="C81" s="1"/>
      <c r="D81" s="1"/>
      <c r="E81" s="2">
        <v>43913</v>
      </c>
      <c r="F81" s="1"/>
      <c r="G81" s="1"/>
      <c r="H81" s="1" t="s">
        <v>926</v>
      </c>
      <c r="I81" s="1" t="s">
        <v>407</v>
      </c>
      <c r="J81" s="1" t="s">
        <v>393</v>
      </c>
      <c r="K81" s="1"/>
      <c r="L81" s="1" t="s">
        <v>927</v>
      </c>
      <c r="M81" s="1"/>
      <c r="N81" s="1" t="s">
        <v>928</v>
      </c>
      <c r="O81" s="1">
        <v>671050835</v>
      </c>
      <c r="P81" s="1" t="s">
        <v>509</v>
      </c>
      <c r="Q81" s="1"/>
      <c r="R81" s="1"/>
      <c r="S81" s="1"/>
      <c r="T81" s="1"/>
    </row>
    <row r="82" spans="1:20" x14ac:dyDescent="0.25">
      <c r="A82" s="1" t="s">
        <v>929</v>
      </c>
      <c r="B82" s="1">
        <f t="shared" si="2"/>
        <v>81</v>
      </c>
      <c r="C82" s="1"/>
      <c r="D82" s="1"/>
      <c r="E82" s="2">
        <v>44127</v>
      </c>
      <c r="F82" s="1"/>
      <c r="G82" s="1"/>
      <c r="H82" s="1" t="s">
        <v>930</v>
      </c>
      <c r="I82" s="1" t="s">
        <v>421</v>
      </c>
      <c r="J82" s="1" t="s">
        <v>393</v>
      </c>
      <c r="K82" s="1"/>
      <c r="L82" s="1" t="s">
        <v>931</v>
      </c>
      <c r="M82" s="1"/>
      <c r="N82" s="1" t="s">
        <v>932</v>
      </c>
      <c r="O82" s="1">
        <v>638791623</v>
      </c>
      <c r="P82" s="1" t="s">
        <v>509</v>
      </c>
      <c r="Q82" s="1"/>
      <c r="R82" s="1"/>
      <c r="S82" s="1"/>
      <c r="T82" s="1"/>
    </row>
    <row r="83" spans="1:20" x14ac:dyDescent="0.25">
      <c r="A83" s="1" t="s">
        <v>933</v>
      </c>
      <c r="B83" s="1">
        <f t="shared" si="2"/>
        <v>82</v>
      </c>
      <c r="C83" s="1"/>
      <c r="D83" s="1"/>
      <c r="E83" s="2">
        <v>43446</v>
      </c>
      <c r="F83" s="1"/>
      <c r="G83" s="1"/>
      <c r="H83" s="1" t="s">
        <v>934</v>
      </c>
      <c r="I83" s="1" t="s">
        <v>407</v>
      </c>
      <c r="J83" s="1" t="s">
        <v>742</v>
      </c>
      <c r="K83" s="1" t="s">
        <v>935</v>
      </c>
      <c r="L83" s="1" t="s">
        <v>936</v>
      </c>
      <c r="M83" s="1"/>
      <c r="N83" s="1" t="s">
        <v>937</v>
      </c>
      <c r="O83" s="1">
        <v>699561529</v>
      </c>
      <c r="P83" s="1" t="s">
        <v>82</v>
      </c>
      <c r="Q83" s="1"/>
      <c r="R83" s="1"/>
      <c r="S83" s="1"/>
      <c r="T83" s="1" t="s">
        <v>938</v>
      </c>
    </row>
    <row r="84" spans="1:20" x14ac:dyDescent="0.25">
      <c r="A84" s="1" t="s">
        <v>52</v>
      </c>
      <c r="B84" s="1">
        <f t="shared" si="2"/>
        <v>83</v>
      </c>
      <c r="C84" s="1"/>
      <c r="D84" s="1"/>
      <c r="E84" s="2">
        <v>44137</v>
      </c>
      <c r="F84" s="1"/>
      <c r="G84" s="1"/>
      <c r="H84" s="1" t="s">
        <v>53</v>
      </c>
      <c r="I84" s="1" t="s">
        <v>407</v>
      </c>
      <c r="J84" s="1" t="s">
        <v>393</v>
      </c>
      <c r="K84" s="1"/>
      <c r="L84" s="1" t="s">
        <v>55</v>
      </c>
      <c r="M84" s="1"/>
      <c r="N84" s="1" t="s">
        <v>57</v>
      </c>
      <c r="O84" s="1">
        <v>629964492</v>
      </c>
      <c r="P84" s="1" t="s">
        <v>939</v>
      </c>
      <c r="Q84" s="1"/>
      <c r="R84" s="1"/>
      <c r="S84" s="1"/>
      <c r="T84" s="1"/>
    </row>
    <row r="85" spans="1:20" x14ac:dyDescent="0.25">
      <c r="A85" s="1" t="s">
        <v>940</v>
      </c>
      <c r="B85" s="1">
        <f t="shared" si="2"/>
        <v>84</v>
      </c>
      <c r="C85" s="1"/>
      <c r="D85" s="1"/>
      <c r="E85" s="2">
        <v>44158</v>
      </c>
      <c r="F85" s="1"/>
      <c r="G85" s="1"/>
      <c r="H85" s="1" t="s">
        <v>941</v>
      </c>
      <c r="I85" s="1" t="s">
        <v>483</v>
      </c>
      <c r="J85" s="1" t="s">
        <v>393</v>
      </c>
      <c r="K85" s="1"/>
      <c r="L85" s="1" t="s">
        <v>942</v>
      </c>
      <c r="M85" s="1"/>
      <c r="N85" s="1" t="s">
        <v>943</v>
      </c>
      <c r="O85" s="1">
        <v>603687850</v>
      </c>
      <c r="P85" s="1" t="s">
        <v>100</v>
      </c>
      <c r="Q85" s="1"/>
      <c r="R85" s="1"/>
      <c r="S85" s="1"/>
      <c r="T85" s="1" t="s">
        <v>944</v>
      </c>
    </row>
    <row r="86" spans="1:20" x14ac:dyDescent="0.25">
      <c r="A86" s="1" t="s">
        <v>38</v>
      </c>
      <c r="B86" s="1">
        <f t="shared" si="2"/>
        <v>85</v>
      </c>
      <c r="C86" s="1"/>
      <c r="D86" s="1"/>
      <c r="E86" s="2">
        <v>44120</v>
      </c>
      <c r="F86" s="2">
        <v>44173</v>
      </c>
      <c r="G86" s="2"/>
      <c r="H86" s="1" t="s">
        <v>41</v>
      </c>
      <c r="I86" s="1" t="s">
        <v>42</v>
      </c>
      <c r="J86" s="1" t="s">
        <v>393</v>
      </c>
      <c r="K86" s="1"/>
      <c r="L86" s="1" t="s">
        <v>43</v>
      </c>
      <c r="M86" s="1"/>
      <c r="N86" s="1" t="s">
        <v>46</v>
      </c>
      <c r="O86" s="1">
        <v>688825602</v>
      </c>
      <c r="P86" s="1" t="s">
        <v>260</v>
      </c>
      <c r="Q86" s="1"/>
      <c r="R86" s="1"/>
      <c r="S86" s="1" t="s">
        <v>529</v>
      </c>
      <c r="T86" s="1" t="s">
        <v>945</v>
      </c>
    </row>
    <row r="87" spans="1:20" x14ac:dyDescent="0.25">
      <c r="A87" s="1" t="s">
        <v>946</v>
      </c>
      <c r="B87" s="1">
        <f t="shared" si="2"/>
        <v>86</v>
      </c>
      <c r="C87" s="1"/>
      <c r="D87" s="1"/>
      <c r="E87" s="2">
        <v>44281</v>
      </c>
      <c r="F87" s="1"/>
      <c r="G87" s="1"/>
      <c r="H87" s="1" t="s">
        <v>947</v>
      </c>
      <c r="I87" s="1" t="s">
        <v>407</v>
      </c>
      <c r="J87" s="1" t="s">
        <v>393</v>
      </c>
      <c r="K87" s="1" t="s">
        <v>948</v>
      </c>
      <c r="L87" s="1"/>
      <c r="M87" s="1"/>
      <c r="N87" s="1" t="s">
        <v>949</v>
      </c>
      <c r="O87" s="1">
        <v>645441135</v>
      </c>
      <c r="P87" s="1" t="s">
        <v>950</v>
      </c>
      <c r="Q87" s="1"/>
      <c r="R87" s="1" t="s">
        <v>100</v>
      </c>
      <c r="S87" s="1"/>
      <c r="T87" s="1" t="s">
        <v>951</v>
      </c>
    </row>
    <row r="88" spans="1:20" x14ac:dyDescent="0.25">
      <c r="A88" s="1" t="s">
        <v>952</v>
      </c>
      <c r="B88" s="1">
        <f t="shared" si="2"/>
        <v>87</v>
      </c>
      <c r="C88" s="1"/>
      <c r="D88" s="1"/>
      <c r="E88" s="2">
        <v>44476</v>
      </c>
      <c r="F88" s="1"/>
      <c r="G88" s="1"/>
      <c r="H88" s="1" t="s">
        <v>953</v>
      </c>
      <c r="I88" s="1" t="s">
        <v>407</v>
      </c>
      <c r="J88" s="1" t="s">
        <v>393</v>
      </c>
      <c r="K88" s="1" t="s">
        <v>954</v>
      </c>
      <c r="L88" s="1"/>
      <c r="M88" s="1"/>
      <c r="N88" s="1" t="s">
        <v>955</v>
      </c>
      <c r="O88" s="1" t="s">
        <v>956</v>
      </c>
      <c r="P88" s="1" t="s">
        <v>225</v>
      </c>
      <c r="Q88" s="1"/>
      <c r="R88" s="1"/>
      <c r="S88" s="1"/>
      <c r="T88" s="1"/>
    </row>
    <row r="89" spans="1:20" x14ac:dyDescent="0.25">
      <c r="A89" s="1" t="s">
        <v>957</v>
      </c>
      <c r="B89" s="1">
        <f t="shared" si="2"/>
        <v>88</v>
      </c>
      <c r="C89" s="1"/>
      <c r="D89" s="1"/>
      <c r="E89" s="2">
        <v>44995</v>
      </c>
      <c r="F89" s="2">
        <v>45078</v>
      </c>
      <c r="G89" s="2"/>
      <c r="H89" s="1" t="s">
        <v>958</v>
      </c>
      <c r="I89" s="1" t="s">
        <v>42</v>
      </c>
      <c r="J89" s="1" t="s">
        <v>393</v>
      </c>
      <c r="K89" s="1" t="s">
        <v>959</v>
      </c>
      <c r="L89" s="1"/>
      <c r="M89" s="1"/>
      <c r="N89" s="1" t="s">
        <v>960</v>
      </c>
      <c r="O89" s="1">
        <v>688629436</v>
      </c>
      <c r="P89" s="1" t="s">
        <v>260</v>
      </c>
      <c r="Q89" s="1"/>
      <c r="R89" s="1"/>
      <c r="S89" s="1"/>
      <c r="T89" s="1"/>
    </row>
    <row r="90" spans="1:20" x14ac:dyDescent="0.25">
      <c r="A90" s="1" t="s">
        <v>961</v>
      </c>
      <c r="B90" s="1">
        <f t="shared" si="2"/>
        <v>89</v>
      </c>
      <c r="C90" s="1"/>
      <c r="D90" s="1"/>
      <c r="E90" s="2">
        <v>44875</v>
      </c>
      <c r="F90" s="2">
        <v>45170</v>
      </c>
      <c r="G90" s="2"/>
      <c r="H90" s="1" t="s">
        <v>962</v>
      </c>
      <c r="I90" s="1" t="s">
        <v>407</v>
      </c>
      <c r="J90" s="1" t="s">
        <v>393</v>
      </c>
      <c r="K90" s="1" t="s">
        <v>963</v>
      </c>
      <c r="L90" s="1"/>
      <c r="M90" s="1"/>
      <c r="N90" s="1" t="s">
        <v>964</v>
      </c>
      <c r="O90" s="1">
        <v>697146644</v>
      </c>
      <c r="P90" s="1" t="s">
        <v>965</v>
      </c>
      <c r="Q90" s="1"/>
      <c r="R90" s="1"/>
      <c r="S90" s="1"/>
      <c r="T90" s="1"/>
    </row>
    <row r="91" spans="1:20" x14ac:dyDescent="0.25">
      <c r="A91" s="1" t="s">
        <v>966</v>
      </c>
      <c r="B91" s="1">
        <f t="shared" si="2"/>
        <v>90</v>
      </c>
      <c r="C91" s="1"/>
      <c r="D91" s="1"/>
      <c r="E91" s="2">
        <v>44465</v>
      </c>
      <c r="F91" s="2">
        <v>45089</v>
      </c>
      <c r="G91" s="2"/>
      <c r="H91" s="1" t="s">
        <v>967</v>
      </c>
      <c r="I91" s="1" t="s">
        <v>87</v>
      </c>
      <c r="J91" s="1" t="s">
        <v>393</v>
      </c>
      <c r="K91" s="1" t="s">
        <v>968</v>
      </c>
      <c r="L91" s="1"/>
      <c r="M91" s="1"/>
      <c r="N91" s="1" t="s">
        <v>969</v>
      </c>
      <c r="O91" s="1">
        <v>688665148</v>
      </c>
      <c r="P91" s="1" t="s">
        <v>82</v>
      </c>
      <c r="Q91" s="1"/>
      <c r="R91" s="1"/>
      <c r="S91" s="1"/>
      <c r="T91" s="1"/>
    </row>
    <row r="92" spans="1:20" x14ac:dyDescent="0.25">
      <c r="A92" s="1" t="s">
        <v>970</v>
      </c>
      <c r="B92" s="1">
        <f t="shared" si="2"/>
        <v>91</v>
      </c>
      <c r="C92" s="1"/>
      <c r="D92" s="1"/>
      <c r="E92" s="2">
        <v>44465</v>
      </c>
      <c r="F92" s="2">
        <v>44938</v>
      </c>
      <c r="G92" s="2"/>
      <c r="H92" s="1" t="s">
        <v>971</v>
      </c>
      <c r="I92" s="1" t="s">
        <v>87</v>
      </c>
      <c r="J92" s="1" t="s">
        <v>393</v>
      </c>
      <c r="K92" s="1" t="s">
        <v>972</v>
      </c>
      <c r="L92" s="1"/>
      <c r="M92" s="1"/>
      <c r="N92" s="1" t="s">
        <v>973</v>
      </c>
      <c r="O92" s="1">
        <v>674841092</v>
      </c>
      <c r="P92" s="1" t="s">
        <v>100</v>
      </c>
      <c r="Q92" s="1"/>
      <c r="R92" s="1"/>
      <c r="S92" s="1"/>
      <c r="T92" s="1"/>
    </row>
    <row r="93" spans="1:20" x14ac:dyDescent="0.25">
      <c r="A93" s="1" t="s">
        <v>974</v>
      </c>
      <c r="B93" s="1">
        <f t="shared" si="2"/>
        <v>92</v>
      </c>
      <c r="C93" s="1"/>
      <c r="D93" s="1"/>
      <c r="E93" s="2">
        <v>44475</v>
      </c>
      <c r="F93" s="2">
        <v>45183</v>
      </c>
      <c r="G93" s="2"/>
      <c r="H93" s="1" t="s">
        <v>975</v>
      </c>
      <c r="I93" s="1" t="s">
        <v>483</v>
      </c>
      <c r="J93" s="1" t="s">
        <v>393</v>
      </c>
      <c r="K93" s="1"/>
      <c r="L93" s="1" t="s">
        <v>976</v>
      </c>
      <c r="M93" s="1"/>
      <c r="N93" s="1" t="s">
        <v>977</v>
      </c>
      <c r="O93" s="1">
        <v>688638922</v>
      </c>
      <c r="P93" s="1" t="s">
        <v>898</v>
      </c>
      <c r="Q93" s="1"/>
      <c r="R93" s="1"/>
      <c r="S93" s="1"/>
      <c r="T93" s="1"/>
    </row>
    <row r="94" spans="1:20" x14ac:dyDescent="0.25">
      <c r="A94" s="1" t="s">
        <v>978</v>
      </c>
      <c r="B94" s="1">
        <f t="shared" si="2"/>
        <v>93</v>
      </c>
      <c r="C94" s="1"/>
      <c r="D94" s="1"/>
      <c r="E94" s="2">
        <v>44158</v>
      </c>
      <c r="F94" s="2">
        <v>45209</v>
      </c>
      <c r="G94" s="2"/>
      <c r="H94" s="1" t="s">
        <v>979</v>
      </c>
      <c r="I94" s="1" t="s">
        <v>483</v>
      </c>
      <c r="J94" s="1" t="s">
        <v>393</v>
      </c>
      <c r="K94" s="1" t="s">
        <v>943</v>
      </c>
      <c r="L94" s="1" t="s">
        <v>980</v>
      </c>
      <c r="M94" s="1"/>
      <c r="N94" s="1" t="s">
        <v>981</v>
      </c>
      <c r="O94" s="1">
        <v>688862620</v>
      </c>
      <c r="P94" s="1" t="s">
        <v>509</v>
      </c>
      <c r="Q94" s="1"/>
      <c r="R94" s="1"/>
      <c r="S94" s="1"/>
      <c r="T94" s="1"/>
    </row>
    <row r="95" spans="1:20" x14ac:dyDescent="0.25">
      <c r="A95" s="1" t="s">
        <v>982</v>
      </c>
      <c r="B95" s="1">
        <f t="shared" si="2"/>
        <v>94</v>
      </c>
      <c r="C95" s="1"/>
      <c r="D95" s="1"/>
      <c r="E95" s="2">
        <v>44127</v>
      </c>
      <c r="F95" s="2">
        <v>45170</v>
      </c>
      <c r="G95" s="2"/>
      <c r="H95" s="1" t="s">
        <v>983</v>
      </c>
      <c r="I95" s="1" t="s">
        <v>421</v>
      </c>
      <c r="J95" s="1" t="s">
        <v>393</v>
      </c>
      <c r="K95" s="1"/>
      <c r="L95" s="1" t="s">
        <v>984</v>
      </c>
      <c r="M95" s="1"/>
      <c r="N95" s="1" t="s">
        <v>985</v>
      </c>
      <c r="O95" s="1">
        <v>671818236</v>
      </c>
      <c r="P95" s="1" t="s">
        <v>100</v>
      </c>
      <c r="Q95" s="1"/>
      <c r="R95" s="1"/>
      <c r="S95" s="1" t="s">
        <v>986</v>
      </c>
      <c r="T95" s="1" t="s">
        <v>987</v>
      </c>
    </row>
    <row r="96" spans="1:20" x14ac:dyDescent="0.25">
      <c r="A96" s="1" t="s">
        <v>988</v>
      </c>
      <c r="B96" s="1">
        <f t="shared" si="2"/>
        <v>95</v>
      </c>
      <c r="C96" s="1"/>
      <c r="D96" s="1" t="s">
        <v>51</v>
      </c>
      <c r="E96" s="2">
        <v>44844</v>
      </c>
      <c r="F96" s="1"/>
      <c r="G96" s="1"/>
      <c r="H96" s="1" t="s">
        <v>989</v>
      </c>
      <c r="I96" s="1" t="s">
        <v>42</v>
      </c>
      <c r="J96" s="1" t="s">
        <v>393</v>
      </c>
      <c r="K96" s="1" t="s">
        <v>990</v>
      </c>
      <c r="L96" s="1"/>
      <c r="M96" s="1"/>
      <c r="N96" s="1" t="s">
        <v>991</v>
      </c>
      <c r="O96" s="1">
        <v>691605988</v>
      </c>
      <c r="P96" s="1" t="s">
        <v>82</v>
      </c>
      <c r="Q96" s="10">
        <v>45385</v>
      </c>
      <c r="R96" s="1"/>
      <c r="S96" s="1"/>
      <c r="T96" s="1" t="s">
        <v>992</v>
      </c>
    </row>
    <row r="97" spans="1:27" x14ac:dyDescent="0.25">
      <c r="A97" s="1" t="s">
        <v>993</v>
      </c>
      <c r="B97" s="1">
        <f t="shared" si="2"/>
        <v>96</v>
      </c>
      <c r="C97" s="1"/>
      <c r="D97" s="1" t="s">
        <v>51</v>
      </c>
      <c r="E97" s="2">
        <v>44995</v>
      </c>
      <c r="F97" s="1"/>
      <c r="G97" s="1"/>
      <c r="H97" s="1" t="s">
        <v>994</v>
      </c>
      <c r="I97" s="1" t="s">
        <v>42</v>
      </c>
      <c r="J97" s="1" t="s">
        <v>393</v>
      </c>
      <c r="K97" s="1" t="s">
        <v>995</v>
      </c>
      <c r="L97" s="1"/>
      <c r="M97" s="1"/>
      <c r="N97" s="1" t="s">
        <v>996</v>
      </c>
      <c r="O97" s="1">
        <v>674746600</v>
      </c>
      <c r="P97" s="1" t="s">
        <v>260</v>
      </c>
      <c r="Q97" s="10">
        <v>45385</v>
      </c>
      <c r="R97" s="1"/>
      <c r="S97" s="1"/>
      <c r="T97" s="1"/>
    </row>
    <row r="98" spans="1:27" x14ac:dyDescent="0.25">
      <c r="A98" s="1" t="s">
        <v>997</v>
      </c>
      <c r="B98" s="1">
        <f t="shared" si="2"/>
        <v>97</v>
      </c>
      <c r="C98" s="1"/>
      <c r="D98" s="1" t="s">
        <v>51</v>
      </c>
      <c r="E98" s="2">
        <v>44995</v>
      </c>
      <c r="F98" s="1"/>
      <c r="G98" s="1"/>
      <c r="H98" s="1" t="s">
        <v>998</v>
      </c>
      <c r="I98" s="1" t="s">
        <v>42</v>
      </c>
      <c r="J98" s="1" t="s">
        <v>393</v>
      </c>
      <c r="K98" s="1" t="s">
        <v>999</v>
      </c>
      <c r="L98" s="1"/>
      <c r="M98" s="1"/>
      <c r="N98" s="1" t="s">
        <v>1000</v>
      </c>
      <c r="O98" s="1">
        <v>688873070</v>
      </c>
      <c r="P98" s="1" t="s">
        <v>260</v>
      </c>
      <c r="Q98" s="10">
        <v>45385</v>
      </c>
      <c r="R98" s="1"/>
      <c r="S98" s="1"/>
      <c r="T98" s="1"/>
    </row>
    <row r="99" spans="1:27" x14ac:dyDescent="0.25">
      <c r="A99" s="1" t="s">
        <v>1001</v>
      </c>
      <c r="B99" s="1">
        <f t="shared" ref="B99:B128" si="3">B98+1</f>
        <v>98</v>
      </c>
      <c r="C99" s="1"/>
      <c r="D99" s="1" t="s">
        <v>51</v>
      </c>
      <c r="E99" s="2">
        <v>45310</v>
      </c>
      <c r="F99" s="2">
        <v>45415</v>
      </c>
      <c r="G99" s="2"/>
      <c r="H99" s="1" t="s">
        <v>1002</v>
      </c>
      <c r="I99" s="1" t="s">
        <v>151</v>
      </c>
      <c r="J99" s="1" t="s">
        <v>393</v>
      </c>
      <c r="K99" s="1"/>
      <c r="L99" s="1"/>
      <c r="M99" s="1"/>
      <c r="N99" s="1" t="s">
        <v>1003</v>
      </c>
      <c r="O99" s="1">
        <v>640267552</v>
      </c>
      <c r="P99" s="1" t="s">
        <v>1004</v>
      </c>
      <c r="Q99" s="1" t="s">
        <v>1005</v>
      </c>
      <c r="R99" s="1"/>
      <c r="S99" s="1"/>
      <c r="T99" s="1" t="s">
        <v>1006</v>
      </c>
    </row>
    <row r="100" spans="1:27" x14ac:dyDescent="0.25">
      <c r="A100" s="1" t="s">
        <v>1007</v>
      </c>
      <c r="B100" s="1">
        <f t="shared" si="3"/>
        <v>99</v>
      </c>
      <c r="C100" s="1"/>
      <c r="D100" s="1" t="s">
        <v>51</v>
      </c>
      <c r="E100" s="2">
        <v>44653</v>
      </c>
      <c r="F100" s="1"/>
      <c r="G100" s="1"/>
      <c r="H100" s="1" t="s">
        <v>1008</v>
      </c>
      <c r="I100" s="1" t="s">
        <v>42</v>
      </c>
      <c r="J100" s="1" t="s">
        <v>393</v>
      </c>
      <c r="K100" s="1" t="s">
        <v>1009</v>
      </c>
      <c r="L100" s="1"/>
      <c r="M100" s="1"/>
      <c r="N100" s="1" t="s">
        <v>1010</v>
      </c>
      <c r="O100" s="1">
        <v>638371762</v>
      </c>
      <c r="P100" s="1" t="s">
        <v>1011</v>
      </c>
      <c r="Q100" s="10">
        <v>45323</v>
      </c>
      <c r="R100" s="1" t="s">
        <v>1012</v>
      </c>
      <c r="S100" s="1"/>
      <c r="T100" s="1" t="s">
        <v>1013</v>
      </c>
    </row>
    <row r="101" spans="1:27" x14ac:dyDescent="0.25">
      <c r="A101" s="1" t="s">
        <v>1014</v>
      </c>
      <c r="B101" s="1">
        <f t="shared" si="3"/>
        <v>100</v>
      </c>
      <c r="C101" s="1"/>
      <c r="D101" s="1" t="s">
        <v>40</v>
      </c>
      <c r="E101" s="2">
        <v>44130</v>
      </c>
      <c r="F101" s="1"/>
      <c r="G101" s="1"/>
      <c r="H101" s="1" t="s">
        <v>1015</v>
      </c>
      <c r="I101" s="1" t="s">
        <v>87</v>
      </c>
      <c r="J101" s="1" t="s">
        <v>393</v>
      </c>
      <c r="K101" s="1" t="s">
        <v>1016</v>
      </c>
      <c r="L101" s="1" t="s">
        <v>1017</v>
      </c>
      <c r="M101" s="1"/>
      <c r="N101" s="1" t="s">
        <v>1018</v>
      </c>
      <c r="O101" s="1">
        <v>666459942</v>
      </c>
      <c r="P101" s="1" t="s">
        <v>1019</v>
      </c>
      <c r="Q101" s="10">
        <v>45323</v>
      </c>
      <c r="R101" s="1" t="s">
        <v>509</v>
      </c>
      <c r="S101" s="1"/>
      <c r="T101" s="1" t="s">
        <v>1020</v>
      </c>
    </row>
    <row r="102" spans="1:27" x14ac:dyDescent="0.25">
      <c r="A102" s="1" t="s">
        <v>895</v>
      </c>
      <c r="B102" s="1">
        <f t="shared" si="3"/>
        <v>101</v>
      </c>
      <c r="C102" s="1"/>
      <c r="D102" s="1" t="s">
        <v>51</v>
      </c>
      <c r="E102" s="2">
        <v>45425</v>
      </c>
      <c r="F102" s="2">
        <v>45505</v>
      </c>
      <c r="G102" s="2"/>
      <c r="H102" s="1" t="s">
        <v>896</v>
      </c>
      <c r="I102" s="1" t="s">
        <v>421</v>
      </c>
      <c r="J102" s="1" t="s">
        <v>393</v>
      </c>
      <c r="K102" s="1"/>
      <c r="L102" s="1"/>
      <c r="M102" s="1"/>
      <c r="N102" s="1" t="s">
        <v>897</v>
      </c>
      <c r="O102" s="1">
        <v>644391725</v>
      </c>
      <c r="P102" s="1" t="s">
        <v>100</v>
      </c>
      <c r="Q102" s="1" t="s">
        <v>1005</v>
      </c>
      <c r="R102" s="1"/>
      <c r="S102" s="1"/>
      <c r="T102" s="1"/>
    </row>
    <row r="103" spans="1:27" x14ac:dyDescent="0.25">
      <c r="A103" s="1" t="s">
        <v>1021</v>
      </c>
      <c r="B103" s="1">
        <f t="shared" si="3"/>
        <v>102</v>
      </c>
      <c r="C103" s="1"/>
      <c r="D103" s="1" t="s">
        <v>51</v>
      </c>
      <c r="E103" s="2">
        <v>45315</v>
      </c>
      <c r="F103" s="2">
        <v>45505</v>
      </c>
      <c r="G103" s="2"/>
      <c r="H103" s="1" t="s">
        <v>1022</v>
      </c>
      <c r="I103" s="1" t="s">
        <v>421</v>
      </c>
      <c r="J103" s="1" t="s">
        <v>393</v>
      </c>
      <c r="K103" s="1"/>
      <c r="L103" s="1"/>
      <c r="M103" s="1"/>
      <c r="N103" s="1" t="s">
        <v>1023</v>
      </c>
      <c r="O103" s="1">
        <v>611457097</v>
      </c>
      <c r="P103" s="1" t="s">
        <v>1024</v>
      </c>
      <c r="Q103" s="1" t="s">
        <v>1025</v>
      </c>
      <c r="R103" s="1"/>
      <c r="S103" s="1"/>
      <c r="T103" s="1"/>
    </row>
    <row r="104" spans="1:27" x14ac:dyDescent="0.25">
      <c r="A104" s="1" t="s">
        <v>1026</v>
      </c>
      <c r="B104" s="1">
        <f t="shared" si="3"/>
        <v>103</v>
      </c>
      <c r="C104" s="1"/>
      <c r="D104" s="1" t="s">
        <v>51</v>
      </c>
      <c r="E104" s="2">
        <v>44839</v>
      </c>
      <c r="F104" s="1"/>
      <c r="G104" s="1"/>
      <c r="H104" s="1" t="s">
        <v>1027</v>
      </c>
      <c r="I104" s="1" t="s">
        <v>483</v>
      </c>
      <c r="J104" s="1" t="s">
        <v>393</v>
      </c>
      <c r="K104" s="1" t="s">
        <v>1028</v>
      </c>
      <c r="L104" s="1"/>
      <c r="M104" s="1"/>
      <c r="N104" s="1" t="s">
        <v>1029</v>
      </c>
      <c r="O104" s="1">
        <v>688628906</v>
      </c>
      <c r="P104" s="1" t="s">
        <v>1030</v>
      </c>
      <c r="Q104" s="1"/>
      <c r="R104" s="1" t="s">
        <v>1031</v>
      </c>
      <c r="S104" s="1"/>
      <c r="T104" s="1"/>
    </row>
    <row r="105" spans="1:27" x14ac:dyDescent="0.25">
      <c r="A105" s="1" t="s">
        <v>1032</v>
      </c>
      <c r="B105" s="1">
        <f t="shared" si="3"/>
        <v>104</v>
      </c>
      <c r="C105" s="1"/>
      <c r="D105" s="1" t="s">
        <v>40</v>
      </c>
      <c r="E105" s="2">
        <v>44250</v>
      </c>
      <c r="F105" s="1"/>
      <c r="G105" s="1"/>
      <c r="H105" s="1" t="s">
        <v>1033</v>
      </c>
      <c r="I105" s="1" t="s">
        <v>483</v>
      </c>
      <c r="J105" s="1" t="s">
        <v>393</v>
      </c>
      <c r="K105" s="1" t="s">
        <v>1034</v>
      </c>
      <c r="L105" s="1"/>
      <c r="M105" s="1"/>
      <c r="N105" s="1" t="s">
        <v>1035</v>
      </c>
      <c r="O105" s="1">
        <v>663435590</v>
      </c>
      <c r="P105" s="1" t="s">
        <v>1036</v>
      </c>
      <c r="Q105" s="10">
        <v>45323</v>
      </c>
      <c r="R105" s="1" t="s">
        <v>100</v>
      </c>
      <c r="S105" s="1"/>
      <c r="T105" s="1"/>
    </row>
    <row r="106" spans="1:27" x14ac:dyDescent="0.25">
      <c r="A106" s="1" t="s">
        <v>1037</v>
      </c>
      <c r="B106" s="1">
        <f t="shared" si="3"/>
        <v>105</v>
      </c>
      <c r="C106" s="1"/>
      <c r="D106" s="1" t="s">
        <v>51</v>
      </c>
      <c r="E106" s="2">
        <v>45240</v>
      </c>
      <c r="F106" s="2"/>
      <c r="G106" s="37">
        <v>45322</v>
      </c>
      <c r="H106" s="37" t="s">
        <v>1038</v>
      </c>
      <c r="I106" s="1" t="s">
        <v>407</v>
      </c>
      <c r="J106" s="1" t="s">
        <v>393</v>
      </c>
      <c r="K106" s="1"/>
      <c r="L106" s="1"/>
      <c r="M106" s="1"/>
      <c r="N106" s="1" t="s">
        <v>1039</v>
      </c>
      <c r="O106" s="1">
        <v>634437874</v>
      </c>
      <c r="P106" s="1"/>
      <c r="Q106" s="1"/>
      <c r="R106" s="1"/>
      <c r="S106" s="1"/>
      <c r="T106" s="1"/>
    </row>
    <row r="107" spans="1:27" x14ac:dyDescent="0.25">
      <c r="A107" s="1" t="s">
        <v>1040</v>
      </c>
      <c r="B107" s="1">
        <f t="shared" si="3"/>
        <v>106</v>
      </c>
      <c r="C107" s="1"/>
      <c r="D107" s="1" t="s">
        <v>51</v>
      </c>
      <c r="E107" s="1" t="s">
        <v>1041</v>
      </c>
      <c r="F107" s="1"/>
      <c r="G107" s="37">
        <v>45336</v>
      </c>
      <c r="H107" s="37" t="s">
        <v>1042</v>
      </c>
      <c r="I107" s="1" t="s">
        <v>151</v>
      </c>
      <c r="J107" s="1" t="s">
        <v>393</v>
      </c>
      <c r="K107" s="1" t="s">
        <v>1043</v>
      </c>
      <c r="L107" s="1"/>
      <c r="M107" s="1"/>
      <c r="N107" s="1"/>
      <c r="O107" s="1"/>
      <c r="P107" s="1" t="s">
        <v>99</v>
      </c>
      <c r="Q107" s="1" t="s">
        <v>1044</v>
      </c>
      <c r="R107" s="1"/>
      <c r="S107" s="1"/>
      <c r="T107" s="1"/>
    </row>
    <row r="108" spans="1:27" x14ac:dyDescent="0.25">
      <c r="A108" s="1" t="s">
        <v>1045</v>
      </c>
      <c r="B108" s="1">
        <f t="shared" si="3"/>
        <v>107</v>
      </c>
      <c r="C108" s="1"/>
      <c r="D108" s="1" t="s">
        <v>51</v>
      </c>
      <c r="E108" s="2">
        <v>45240</v>
      </c>
      <c r="F108" s="2"/>
      <c r="G108" s="37">
        <v>45322</v>
      </c>
      <c r="H108" s="37" t="s">
        <v>1046</v>
      </c>
      <c r="I108" s="1" t="s">
        <v>407</v>
      </c>
      <c r="J108" s="1" t="s">
        <v>393</v>
      </c>
      <c r="K108" s="1"/>
      <c r="L108" s="1"/>
      <c r="M108" s="1" t="s">
        <v>1047</v>
      </c>
      <c r="N108" s="1" t="s">
        <v>1048</v>
      </c>
      <c r="O108" s="1">
        <v>640363247</v>
      </c>
      <c r="P108" s="1"/>
      <c r="Q108" s="1"/>
      <c r="R108" s="1"/>
      <c r="S108" s="1"/>
      <c r="T108" s="1"/>
    </row>
    <row r="109" spans="1:27" x14ac:dyDescent="0.25">
      <c r="A109" s="1" t="s">
        <v>1049</v>
      </c>
      <c r="B109" s="1">
        <f t="shared" si="3"/>
        <v>108</v>
      </c>
      <c r="C109" s="1"/>
      <c r="D109" s="1" t="s">
        <v>40</v>
      </c>
      <c r="E109" s="2">
        <v>44483</v>
      </c>
      <c r="F109" s="2">
        <v>45531</v>
      </c>
      <c r="G109" s="37">
        <v>45531</v>
      </c>
      <c r="H109" s="37" t="s">
        <v>1050</v>
      </c>
      <c r="I109" s="1" t="s">
        <v>421</v>
      </c>
      <c r="J109" s="1"/>
      <c r="K109" s="1"/>
      <c r="L109" s="1"/>
      <c r="M109" s="1" t="s">
        <v>1051</v>
      </c>
      <c r="N109" s="1" t="s">
        <v>1052</v>
      </c>
      <c r="O109" s="1">
        <v>688667053</v>
      </c>
      <c r="P109" s="1" t="s">
        <v>69</v>
      </c>
      <c r="Q109" s="1" t="s">
        <v>81</v>
      </c>
      <c r="R109" s="1"/>
      <c r="S109" s="1"/>
      <c r="T109" s="1"/>
    </row>
    <row r="110" spans="1:27" x14ac:dyDescent="0.25">
      <c r="A110" s="1" t="s">
        <v>1053</v>
      </c>
      <c r="B110" s="1">
        <f t="shared" si="3"/>
        <v>109</v>
      </c>
      <c r="C110" s="1"/>
      <c r="D110" s="1" t="s">
        <v>40</v>
      </c>
      <c r="E110" s="2">
        <v>44475</v>
      </c>
      <c r="F110" s="2">
        <v>45536</v>
      </c>
      <c r="G110" s="37">
        <v>45536</v>
      </c>
      <c r="H110" s="37" t="s">
        <v>1054</v>
      </c>
      <c r="I110" s="1" t="s">
        <v>483</v>
      </c>
      <c r="J110" s="1" t="s">
        <v>393</v>
      </c>
      <c r="K110" s="1" t="s">
        <v>1055</v>
      </c>
      <c r="L110" s="1"/>
      <c r="M110" s="1" t="s">
        <v>1056</v>
      </c>
      <c r="N110" s="1" t="s">
        <v>1057</v>
      </c>
      <c r="O110" s="1">
        <v>645295150</v>
      </c>
      <c r="P110" s="1" t="s">
        <v>69</v>
      </c>
      <c r="Q110" s="1" t="s">
        <v>81</v>
      </c>
      <c r="R110" s="1"/>
      <c r="S110" s="1"/>
      <c r="T110" s="1"/>
    </row>
    <row r="111" spans="1:27" x14ac:dyDescent="0.25">
      <c r="A111" s="1" t="s">
        <v>1058</v>
      </c>
      <c r="B111" s="1">
        <f t="shared" si="3"/>
        <v>110</v>
      </c>
      <c r="C111" s="1"/>
      <c r="D111" s="1" t="s">
        <v>51</v>
      </c>
      <c r="E111" s="1" t="s">
        <v>1059</v>
      </c>
      <c r="F111" s="2">
        <v>45536</v>
      </c>
      <c r="G111" s="37">
        <v>45536</v>
      </c>
      <c r="H111" s="37" t="s">
        <v>1060</v>
      </c>
      <c r="I111" s="1" t="s">
        <v>421</v>
      </c>
      <c r="J111" s="1" t="s">
        <v>393</v>
      </c>
      <c r="K111" s="1" t="s">
        <v>1061</v>
      </c>
      <c r="L111" s="1"/>
      <c r="M111" s="1" t="s">
        <v>1062</v>
      </c>
      <c r="N111" s="1" t="s">
        <v>1063</v>
      </c>
      <c r="O111" s="1">
        <v>688717006</v>
      </c>
      <c r="P111" s="1" t="s">
        <v>99</v>
      </c>
      <c r="Q111" s="1" t="s">
        <v>82</v>
      </c>
      <c r="R111" s="1"/>
      <c r="S111" s="1"/>
      <c r="T111" s="1"/>
    </row>
    <row r="112" spans="1:27" x14ac:dyDescent="0.25">
      <c r="A112" s="1" t="s">
        <v>1064</v>
      </c>
      <c r="B112" s="1">
        <f t="shared" si="3"/>
        <v>111</v>
      </c>
      <c r="C112" s="1"/>
      <c r="D112" s="1" t="s">
        <v>85</v>
      </c>
      <c r="E112" s="2">
        <v>45210</v>
      </c>
      <c r="F112" s="24"/>
      <c r="G112" s="37">
        <v>45322</v>
      </c>
      <c r="H112" s="37" t="s">
        <v>1065</v>
      </c>
      <c r="I112" s="1" t="s">
        <v>407</v>
      </c>
      <c r="J112" s="1"/>
      <c r="K112" s="1"/>
      <c r="L112" s="1"/>
      <c r="M112" s="1" t="s">
        <v>1066</v>
      </c>
      <c r="N112" s="1" t="s">
        <v>1067</v>
      </c>
      <c r="O112" s="1">
        <v>648100258</v>
      </c>
      <c r="P112" s="1" t="s">
        <v>99</v>
      </c>
      <c r="Q112" s="1" t="s">
        <v>81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1" x14ac:dyDescent="0.25">
      <c r="A113" s="1" t="s">
        <v>1068</v>
      </c>
      <c r="B113" s="1">
        <f t="shared" si="3"/>
        <v>112</v>
      </c>
      <c r="C113" s="1"/>
      <c r="D113" s="1" t="s">
        <v>51</v>
      </c>
      <c r="E113" s="17">
        <v>45210</v>
      </c>
      <c r="F113" s="40">
        <v>45329</v>
      </c>
      <c r="G113" s="37"/>
      <c r="H113" s="37" t="s">
        <v>1069</v>
      </c>
      <c r="I113" s="1" t="s">
        <v>87</v>
      </c>
      <c r="J113" s="1"/>
      <c r="K113" s="1"/>
      <c r="L113" s="1"/>
      <c r="M113" s="1"/>
      <c r="N113" s="1"/>
      <c r="O113" s="1"/>
      <c r="P113" s="1"/>
      <c r="Q113" s="1" t="s">
        <v>1070</v>
      </c>
      <c r="R113" s="1"/>
      <c r="S113" s="1"/>
      <c r="T113" s="1"/>
    </row>
    <row r="114" spans="1:21" x14ac:dyDescent="0.25">
      <c r="A114" s="1" t="s">
        <v>1071</v>
      </c>
      <c r="B114" s="1">
        <f t="shared" si="3"/>
        <v>113</v>
      </c>
      <c r="C114" s="1" t="s">
        <v>39</v>
      </c>
      <c r="D114" s="1" t="s">
        <v>1072</v>
      </c>
      <c r="E114" s="2">
        <v>45597</v>
      </c>
      <c r="F114" s="24"/>
      <c r="G114" s="37"/>
      <c r="H114" s="37" t="s">
        <v>1073</v>
      </c>
      <c r="I114" s="1" t="s">
        <v>151</v>
      </c>
      <c r="J114" s="1"/>
      <c r="K114" s="1" t="s">
        <v>1074</v>
      </c>
      <c r="L114" s="1"/>
      <c r="M114" s="1"/>
      <c r="N114" s="1"/>
      <c r="O114" s="1"/>
      <c r="P114" s="1" t="s">
        <v>99</v>
      </c>
      <c r="Q114" s="1"/>
      <c r="R114" s="1"/>
      <c r="S114" s="1"/>
      <c r="T114" s="1" t="s">
        <v>1075</v>
      </c>
    </row>
    <row r="115" spans="1:21" x14ac:dyDescent="0.25">
      <c r="A115" s="38" t="s">
        <v>1076</v>
      </c>
      <c r="B115" s="1">
        <f t="shared" si="3"/>
        <v>114</v>
      </c>
      <c r="C115" s="34" t="s">
        <v>62</v>
      </c>
      <c r="D115" s="34" t="s">
        <v>391</v>
      </c>
      <c r="E115" s="35" t="s">
        <v>1077</v>
      </c>
      <c r="F115" s="39">
        <v>45545</v>
      </c>
      <c r="G115" s="37"/>
      <c r="H115" s="39" t="s">
        <v>1078</v>
      </c>
      <c r="I115" s="39" t="s">
        <v>151</v>
      </c>
      <c r="J115" s="1"/>
      <c r="K115" s="34" t="s">
        <v>1079</v>
      </c>
      <c r="L115" s="34"/>
      <c r="M115" s="1"/>
      <c r="N115" s="1"/>
      <c r="O115" s="34">
        <v>684015570</v>
      </c>
      <c r="P115" s="34"/>
      <c r="Q115" s="34"/>
      <c r="R115" s="34"/>
      <c r="S115" s="1"/>
      <c r="T115" s="34"/>
      <c r="U115" s="36"/>
    </row>
    <row r="116" spans="1:21" x14ac:dyDescent="0.25">
      <c r="A116" s="1" t="s">
        <v>1080</v>
      </c>
      <c r="B116" s="1">
        <f t="shared" si="3"/>
        <v>115</v>
      </c>
      <c r="C116" s="1" t="s">
        <v>39</v>
      </c>
      <c r="D116" s="1" t="s">
        <v>51</v>
      </c>
      <c r="E116" s="2">
        <v>45394</v>
      </c>
      <c r="F116" s="37">
        <v>45492</v>
      </c>
      <c r="G116" s="37">
        <v>45750</v>
      </c>
      <c r="H116" s="37" t="s">
        <v>1081</v>
      </c>
      <c r="I116" s="1" t="s">
        <v>42</v>
      </c>
      <c r="J116" s="1"/>
      <c r="K116" s="1" t="s">
        <v>1082</v>
      </c>
      <c r="L116" s="1"/>
      <c r="M116" s="1" t="s">
        <v>1083</v>
      </c>
      <c r="N116" s="34" t="s">
        <v>1084</v>
      </c>
      <c r="O116" s="3">
        <v>616844203</v>
      </c>
      <c r="P116" s="3" t="s">
        <v>99</v>
      </c>
      <c r="Q116" s="1"/>
      <c r="R116" s="1"/>
      <c r="S116" s="1"/>
      <c r="T116" s="1"/>
      <c r="U116" s="1"/>
    </row>
    <row r="117" spans="1:21" x14ac:dyDescent="0.25">
      <c r="A117" s="38" t="s">
        <v>1085</v>
      </c>
      <c r="B117" s="1">
        <f t="shared" si="3"/>
        <v>116</v>
      </c>
      <c r="C117" s="38" t="s">
        <v>39</v>
      </c>
      <c r="D117" s="38" t="s">
        <v>85</v>
      </c>
      <c r="E117" s="56">
        <v>45215</v>
      </c>
      <c r="F117" s="56">
        <v>45265</v>
      </c>
      <c r="G117" s="51">
        <v>45772</v>
      </c>
      <c r="H117" s="51" t="s">
        <v>1086</v>
      </c>
      <c r="I117" s="38" t="s">
        <v>483</v>
      </c>
      <c r="J117" s="38"/>
      <c r="K117" s="38" t="s">
        <v>1087</v>
      </c>
      <c r="L117" s="38"/>
      <c r="M117" s="38" t="s">
        <v>1088</v>
      </c>
      <c r="N117" s="38" t="s">
        <v>1089</v>
      </c>
      <c r="O117" s="38">
        <v>664517362</v>
      </c>
      <c r="P117" s="38" t="s">
        <v>99</v>
      </c>
      <c r="Q117" s="38" t="s">
        <v>100</v>
      </c>
      <c r="R117" s="38"/>
      <c r="S117" s="1"/>
      <c r="T117" s="38"/>
    </row>
    <row r="118" spans="1:21" x14ac:dyDescent="0.25">
      <c r="A118" s="1" t="s">
        <v>1090</v>
      </c>
      <c r="B118" s="1">
        <f t="shared" si="3"/>
        <v>117</v>
      </c>
      <c r="C118" s="1" t="s">
        <v>39</v>
      </c>
      <c r="D118" s="1" t="s">
        <v>40</v>
      </c>
      <c r="E118" s="2">
        <v>45218</v>
      </c>
      <c r="F118" s="2">
        <v>45329</v>
      </c>
      <c r="G118" s="37"/>
      <c r="H118" s="1" t="s">
        <v>1091</v>
      </c>
      <c r="I118" s="1" t="s">
        <v>151</v>
      </c>
      <c r="J118" s="1"/>
      <c r="K118" s="1" t="s">
        <v>1092</v>
      </c>
      <c r="L118" s="1"/>
      <c r="M118" s="1" t="s">
        <v>253</v>
      </c>
      <c r="N118" s="1" t="s">
        <v>1093</v>
      </c>
      <c r="O118" s="1">
        <v>688683093</v>
      </c>
      <c r="P118" s="1" t="s">
        <v>99</v>
      </c>
      <c r="Q118" s="1" t="s">
        <v>1044</v>
      </c>
      <c r="R118" s="1"/>
      <c r="S118" s="1"/>
      <c r="T118" s="1"/>
    </row>
    <row r="119" spans="1:21" x14ac:dyDescent="0.25">
      <c r="A119" s="1" t="s">
        <v>1094</v>
      </c>
      <c r="B119" s="1">
        <f t="shared" si="3"/>
        <v>118</v>
      </c>
      <c r="C119" s="1" t="s">
        <v>39</v>
      </c>
      <c r="D119" s="1" t="s">
        <v>40</v>
      </c>
      <c r="E119" s="2">
        <v>45218</v>
      </c>
      <c r="F119" s="2">
        <v>45310</v>
      </c>
      <c r="G119" s="37"/>
      <c r="H119" s="1" t="s">
        <v>1002</v>
      </c>
      <c r="I119" s="1" t="s">
        <v>151</v>
      </c>
      <c r="J119" s="1"/>
      <c r="K119" s="1" t="s">
        <v>1095</v>
      </c>
      <c r="L119" s="1"/>
      <c r="M119" s="1" t="s">
        <v>1096</v>
      </c>
      <c r="N119" s="1" t="s">
        <v>1097</v>
      </c>
      <c r="O119" s="1">
        <v>688851580</v>
      </c>
      <c r="P119" s="1" t="s">
        <v>99</v>
      </c>
      <c r="Q119" s="1" t="s">
        <v>211</v>
      </c>
      <c r="R119" s="1"/>
      <c r="S119" s="1"/>
      <c r="T119" s="1"/>
    </row>
    <row r="120" spans="1:21" x14ac:dyDescent="0.25">
      <c r="A120" s="1" t="s">
        <v>1098</v>
      </c>
      <c r="B120" s="1">
        <f t="shared" si="3"/>
        <v>119</v>
      </c>
      <c r="C120" s="1" t="s">
        <v>62</v>
      </c>
      <c r="D120" s="1" t="s">
        <v>85</v>
      </c>
      <c r="E120" s="2">
        <v>45210</v>
      </c>
      <c r="F120" s="2">
        <v>45328</v>
      </c>
      <c r="G120" s="37"/>
      <c r="H120" s="1" t="s">
        <v>1099</v>
      </c>
      <c r="I120" s="1" t="s">
        <v>407</v>
      </c>
      <c r="J120" s="1"/>
      <c r="K120" s="1" t="s">
        <v>1100</v>
      </c>
      <c r="L120" s="1"/>
      <c r="M120" s="1" t="s">
        <v>1101</v>
      </c>
      <c r="N120" s="1" t="s">
        <v>1102</v>
      </c>
      <c r="O120" s="1">
        <v>647997181</v>
      </c>
      <c r="P120" s="1" t="s">
        <v>99</v>
      </c>
      <c r="Q120" s="1" t="s">
        <v>71</v>
      </c>
      <c r="R120" s="1"/>
      <c r="S120" s="1"/>
      <c r="T120" s="1" t="s">
        <v>1103</v>
      </c>
    </row>
    <row r="121" spans="1:21" x14ac:dyDescent="0.25">
      <c r="A121" s="1" t="s">
        <v>1104</v>
      </c>
      <c r="B121" s="1">
        <f t="shared" si="3"/>
        <v>120</v>
      </c>
      <c r="C121" s="1" t="s">
        <v>39</v>
      </c>
      <c r="D121" s="1" t="s">
        <v>40</v>
      </c>
      <c r="E121" s="2">
        <v>44482</v>
      </c>
      <c r="F121" s="2">
        <v>44885</v>
      </c>
      <c r="G121" s="37"/>
      <c r="H121" s="1" t="s">
        <v>1105</v>
      </c>
      <c r="I121" s="1" t="s">
        <v>87</v>
      </c>
      <c r="J121" s="1"/>
      <c r="K121" s="1" t="s">
        <v>1106</v>
      </c>
      <c r="L121" s="1"/>
      <c r="M121" s="1"/>
      <c r="N121" s="1" t="s">
        <v>1107</v>
      </c>
      <c r="O121" s="1">
        <v>634400678</v>
      </c>
      <c r="P121" s="1" t="s">
        <v>99</v>
      </c>
      <c r="Q121" s="1" t="s">
        <v>82</v>
      </c>
      <c r="R121" s="1"/>
      <c r="S121" s="1"/>
      <c r="T121" s="1"/>
    </row>
    <row r="122" spans="1:21" x14ac:dyDescent="0.25">
      <c r="A122" s="1" t="s">
        <v>1108</v>
      </c>
      <c r="B122" s="1">
        <f t="shared" si="3"/>
        <v>121</v>
      </c>
      <c r="C122" s="1" t="s">
        <v>39</v>
      </c>
      <c r="D122" s="1" t="s">
        <v>40</v>
      </c>
      <c r="E122" s="2">
        <v>45345</v>
      </c>
      <c r="F122" s="2">
        <v>45366</v>
      </c>
      <c r="G122" s="37">
        <v>45901</v>
      </c>
      <c r="H122" s="37" t="s">
        <v>1109</v>
      </c>
      <c r="I122" s="1" t="s">
        <v>87</v>
      </c>
      <c r="J122" s="1"/>
      <c r="K122" s="57" t="s">
        <v>1110</v>
      </c>
      <c r="L122" s="1"/>
      <c r="M122" s="9" t="s">
        <v>1111</v>
      </c>
      <c r="N122" s="9" t="s">
        <v>1112</v>
      </c>
      <c r="O122" s="1">
        <v>660435252</v>
      </c>
      <c r="P122" s="1" t="s">
        <v>99</v>
      </c>
      <c r="Q122" s="58" t="s">
        <v>354</v>
      </c>
      <c r="R122" s="1"/>
      <c r="S122" s="1"/>
      <c r="T122" s="1"/>
    </row>
    <row r="123" spans="1:21" x14ac:dyDescent="0.25">
      <c r="A123" s="1" t="s">
        <v>1113</v>
      </c>
      <c r="B123" s="1">
        <f t="shared" si="3"/>
        <v>122</v>
      </c>
      <c r="C123" s="1" t="s">
        <v>39</v>
      </c>
      <c r="D123" s="1" t="s">
        <v>51</v>
      </c>
      <c r="E123" s="62">
        <v>45596</v>
      </c>
      <c r="F123" s="62">
        <v>45632</v>
      </c>
      <c r="G123" s="37">
        <v>45901</v>
      </c>
      <c r="H123" s="58" t="s">
        <v>1114</v>
      </c>
      <c r="I123" s="1" t="s">
        <v>87</v>
      </c>
      <c r="J123" s="1"/>
      <c r="K123" s="59" t="s">
        <v>1115</v>
      </c>
      <c r="L123" s="1"/>
      <c r="M123" s="9" t="s">
        <v>1116</v>
      </c>
      <c r="N123" s="9" t="s">
        <v>1117</v>
      </c>
      <c r="O123" s="63">
        <v>697946564</v>
      </c>
      <c r="P123" s="1" t="s">
        <v>99</v>
      </c>
      <c r="Q123" s="63" t="s">
        <v>100</v>
      </c>
      <c r="R123" s="1"/>
      <c r="S123" s="1"/>
      <c r="T123" s="1"/>
    </row>
    <row r="124" spans="1:21" x14ac:dyDescent="0.25">
      <c r="A124" s="61" t="s">
        <v>1118</v>
      </c>
      <c r="B124" s="1">
        <f t="shared" si="3"/>
        <v>123</v>
      </c>
      <c r="C124" s="14" t="s">
        <v>62</v>
      </c>
      <c r="D124" s="1" t="s">
        <v>40</v>
      </c>
      <c r="E124" s="15">
        <v>45202</v>
      </c>
      <c r="F124" s="15">
        <v>45233</v>
      </c>
      <c r="G124" s="37">
        <v>45872</v>
      </c>
      <c r="H124" s="31" t="s">
        <v>1119</v>
      </c>
      <c r="I124" s="1" t="s">
        <v>42</v>
      </c>
      <c r="J124" s="1"/>
      <c r="K124" s="60" t="s">
        <v>1120</v>
      </c>
      <c r="L124" s="1"/>
      <c r="M124" s="60" t="s">
        <v>1121</v>
      </c>
      <c r="N124" s="60" t="s">
        <v>1122</v>
      </c>
      <c r="O124" s="14">
        <v>688801224</v>
      </c>
      <c r="P124" s="1" t="s">
        <v>69</v>
      </c>
      <c r="Q124" s="14" t="s">
        <v>1123</v>
      </c>
      <c r="R124" s="14" t="s">
        <v>260</v>
      </c>
      <c r="S124" s="14"/>
      <c r="T124" s="14"/>
    </row>
    <row r="125" spans="1:21" x14ac:dyDescent="0.25">
      <c r="A125" s="1" t="s">
        <v>1124</v>
      </c>
      <c r="B125" s="1">
        <f t="shared" si="3"/>
        <v>124</v>
      </c>
      <c r="C125" s="1" t="s">
        <v>39</v>
      </c>
      <c r="D125" s="1" t="s">
        <v>85</v>
      </c>
      <c r="E125" s="2">
        <v>45215</v>
      </c>
      <c r="F125" s="2">
        <v>45445</v>
      </c>
      <c r="G125" s="37">
        <v>45900</v>
      </c>
      <c r="H125" s="37" t="s">
        <v>1125</v>
      </c>
      <c r="I125" s="1" t="s">
        <v>483</v>
      </c>
      <c r="J125" s="1"/>
      <c r="K125" s="1" t="s">
        <v>44</v>
      </c>
      <c r="L125" s="1"/>
      <c r="M125" s="1" t="s">
        <v>1126</v>
      </c>
      <c r="N125" s="1" t="s">
        <v>1127</v>
      </c>
      <c r="O125" s="1">
        <v>628539285</v>
      </c>
      <c r="P125" s="1" t="s">
        <v>69</v>
      </c>
      <c r="Q125" s="1" t="s">
        <v>81</v>
      </c>
      <c r="R125" s="1" t="s">
        <v>82</v>
      </c>
      <c r="S125" s="1"/>
      <c r="T125" s="1"/>
    </row>
    <row r="126" spans="1:21" x14ac:dyDescent="0.25">
      <c r="A126" s="1" t="s">
        <v>1128</v>
      </c>
      <c r="B126" s="1">
        <f t="shared" si="3"/>
        <v>125</v>
      </c>
      <c r="C126" s="1" t="s">
        <v>62</v>
      </c>
      <c r="D126" s="1" t="s">
        <v>85</v>
      </c>
      <c r="E126" s="2">
        <v>45596</v>
      </c>
      <c r="F126" s="2">
        <v>45629</v>
      </c>
      <c r="G126" s="37">
        <v>45900</v>
      </c>
      <c r="H126" s="37" t="s">
        <v>1129</v>
      </c>
      <c r="I126" s="1" t="s">
        <v>483</v>
      </c>
      <c r="J126" s="1"/>
      <c r="K126" s="1" t="s">
        <v>44</v>
      </c>
      <c r="L126" s="1"/>
      <c r="M126" s="1" t="s">
        <v>1130</v>
      </c>
      <c r="N126" s="1" t="s">
        <v>1131</v>
      </c>
      <c r="O126" s="1">
        <v>620325417</v>
      </c>
      <c r="P126" s="1" t="s">
        <v>69</v>
      </c>
      <c r="Q126" s="1" t="s">
        <v>425</v>
      </c>
      <c r="R126" s="1" t="s">
        <v>806</v>
      </c>
      <c r="S126" s="1"/>
      <c r="T126" s="1"/>
    </row>
    <row r="127" spans="1:21" x14ac:dyDescent="0.25">
      <c r="A127" s="1" t="s">
        <v>1132</v>
      </c>
      <c r="B127" s="1">
        <f t="shared" si="3"/>
        <v>126</v>
      </c>
      <c r="C127" s="1" t="s">
        <v>62</v>
      </c>
      <c r="D127" s="1" t="s">
        <v>85</v>
      </c>
      <c r="E127" s="2">
        <v>45596</v>
      </c>
      <c r="F127" s="2">
        <v>45629</v>
      </c>
      <c r="G127" s="37">
        <v>45900</v>
      </c>
      <c r="H127" s="37" t="s">
        <v>1133</v>
      </c>
      <c r="I127" s="1" t="s">
        <v>483</v>
      </c>
      <c r="J127" s="1"/>
      <c r="K127" s="1" t="s">
        <v>44</v>
      </c>
      <c r="L127" s="1"/>
      <c r="M127" s="1" t="s">
        <v>1134</v>
      </c>
      <c r="N127" s="1" t="s">
        <v>1135</v>
      </c>
      <c r="O127" s="1">
        <v>622050014</v>
      </c>
      <c r="P127" s="1" t="s">
        <v>99</v>
      </c>
      <c r="Q127" s="14" t="s">
        <v>82</v>
      </c>
      <c r="R127" s="1"/>
      <c r="S127" s="1"/>
      <c r="T127" s="1"/>
    </row>
    <row r="128" spans="1:21" x14ac:dyDescent="0.25">
      <c r="A128" s="20" t="s">
        <v>1136</v>
      </c>
      <c r="B128" s="1">
        <f t="shared" si="3"/>
        <v>127</v>
      </c>
      <c r="C128" s="3" t="s">
        <v>62</v>
      </c>
      <c r="D128" s="1" t="s">
        <v>85</v>
      </c>
      <c r="E128" s="4">
        <v>45215</v>
      </c>
      <c r="F128" s="4">
        <v>45301</v>
      </c>
      <c r="G128" s="68">
        <v>45902</v>
      </c>
      <c r="H128" s="3" t="s">
        <v>1137</v>
      </c>
      <c r="I128" s="69" t="s">
        <v>77</v>
      </c>
      <c r="K128" s="5" t="s">
        <v>1138</v>
      </c>
      <c r="M128" s="5" t="s">
        <v>1139</v>
      </c>
      <c r="N128" s="50" t="s">
        <v>1140</v>
      </c>
      <c r="O128" s="3">
        <v>646735893</v>
      </c>
      <c r="P128" s="3" t="s">
        <v>99</v>
      </c>
      <c r="Q128" s="3" t="s">
        <v>225</v>
      </c>
      <c r="R128" s="3" t="s">
        <v>225</v>
      </c>
      <c r="T128" s="3" t="s">
        <v>1141</v>
      </c>
    </row>
  </sheetData>
  <conditionalFormatting sqref="C128">
    <cfRule type="containsBlanks" dxfId="37" priority="9">
      <formula>LEN(TRIM(C128))=0</formula>
    </cfRule>
  </conditionalFormatting>
  <conditionalFormatting sqref="E113:F113">
    <cfRule type="cellIs" dxfId="36" priority="327" operator="equal">
      <formula>$AV$6</formula>
    </cfRule>
    <cfRule type="cellIs" dxfId="35" priority="317" operator="equal">
      <formula>$AV$16</formula>
    </cfRule>
    <cfRule type="cellIs" dxfId="34" priority="316" operator="equal">
      <formula>$AV$17</formula>
    </cfRule>
    <cfRule type="cellIs" dxfId="33" priority="315" operator="equal">
      <formula>$AV$11</formula>
    </cfRule>
    <cfRule type="cellIs" dxfId="32" priority="314" operator="equal">
      <formula>$AV$3</formula>
    </cfRule>
    <cfRule type="cellIs" dxfId="31" priority="313" operator="equal">
      <formula>$AV$8</formula>
    </cfRule>
    <cfRule type="cellIs" dxfId="30" priority="312" operator="equal">
      <formula>$W$1</formula>
    </cfRule>
    <cfRule type="cellIs" dxfId="29" priority="318" operator="equal">
      <formula>$AV$15</formula>
    </cfRule>
    <cfRule type="cellIs" dxfId="28" priority="319" operator="equal">
      <formula>$AV$13</formula>
    </cfRule>
    <cfRule type="cellIs" dxfId="27" priority="320" operator="equal">
      <formula>$AV$14</formula>
    </cfRule>
    <cfRule type="cellIs" dxfId="26" priority="321" operator="equal">
      <formula>$AV$12</formula>
    </cfRule>
    <cfRule type="cellIs" dxfId="25" priority="322" operator="equal">
      <formula>$AV$11</formula>
    </cfRule>
    <cfRule type="cellIs" dxfId="24" priority="323" operator="equal">
      <formula>$AV$2</formula>
    </cfRule>
    <cfRule type="cellIs" dxfId="23" priority="324" operator="equal">
      <formula>$AV$4</formula>
    </cfRule>
    <cfRule type="cellIs" dxfId="22" priority="325" operator="equal">
      <formula>$AV$7</formula>
    </cfRule>
    <cfRule type="cellIs" dxfId="21" priority="326" operator="equal">
      <formula>$AV$5</formula>
    </cfRule>
  </conditionalFormatting>
  <conditionalFormatting sqref="E124:F128">
    <cfRule type="containsBlanks" dxfId="20" priority="8">
      <formula>LEN(TRIM(E124))=0</formula>
    </cfRule>
  </conditionalFormatting>
  <conditionalFormatting sqref="H124 C124 K124 M124:O124 Q124">
    <cfRule type="containsBlanks" dxfId="19" priority="49">
      <formula>LEN(TRIM(C124))=0</formula>
    </cfRule>
  </conditionalFormatting>
  <conditionalFormatting sqref="H124">
    <cfRule type="cellIs" dxfId="18" priority="61" operator="equal">
      <formula>"Propulsion"</formula>
    </cfRule>
    <cfRule type="cellIs" dxfId="17" priority="62" operator="equal">
      <formula>"Business &amp; Management"</formula>
    </cfRule>
    <cfRule type="cellIs" dxfId="16" priority="39" operator="equal">
      <formula>"Simulation"</formula>
    </cfRule>
    <cfRule type="cellIs" dxfId="15" priority="40" operator="equal">
      <formula>"Recovery"</formula>
    </cfRule>
    <cfRule type="cellIs" dxfId="14" priority="41" operator="equal">
      <formula>"Structures &amp; Fabrication"</formula>
    </cfRule>
    <cfRule type="cellIs" dxfId="13" priority="43" operator="equal">
      <formula>"Flight Control"</formula>
    </cfRule>
    <cfRule type="cellIs" dxfId="12" priority="48" operator="equal">
      <formula>"Business &amp; Management"</formula>
    </cfRule>
    <cfRule type="cellIs" dxfId="11" priority="57" operator="equal">
      <formula>"Aerodynamics &amp; Recovery"</formula>
    </cfRule>
    <cfRule type="cellIs" dxfId="10" priority="58" operator="equal">
      <formula>"Structure"</formula>
    </cfRule>
    <cfRule type="cellIs" dxfId="9" priority="59" operator="equal">
      <formula>"Flight Control &amp; Simulation"</formula>
    </cfRule>
    <cfRule type="cellIs" dxfId="8" priority="60" operator="equal">
      <formula>"Avionics"</formula>
    </cfRule>
  </conditionalFormatting>
  <conditionalFormatting sqref="H128">
    <cfRule type="containsBlanks" dxfId="7" priority="7">
      <formula>LEN(TRIM(H128))=0</formula>
    </cfRule>
  </conditionalFormatting>
  <conditionalFormatting sqref="K128">
    <cfRule type="containsBlanks" dxfId="6" priority="6">
      <formula>LEN(TRIM(K128))=0</formula>
    </cfRule>
  </conditionalFormatting>
  <conditionalFormatting sqref="M128">
    <cfRule type="containsBlanks" dxfId="5" priority="5">
      <formula>LEN(TRIM(M128))=0</formula>
    </cfRule>
  </conditionalFormatting>
  <conditionalFormatting sqref="N128">
    <cfRule type="containsBlanks" dxfId="4" priority="4">
      <formula>LEN(TRIM(N128))=0</formula>
    </cfRule>
  </conditionalFormatting>
  <conditionalFormatting sqref="O116 Q127">
    <cfRule type="containsBlanks" dxfId="3" priority="260">
      <formula>LEN(TRIM(O116))=0</formula>
    </cfRule>
  </conditionalFormatting>
  <conditionalFormatting sqref="O128">
    <cfRule type="containsBlanks" dxfId="2" priority="3">
      <formula>LEN(TRIM(O128))=0</formula>
    </cfRule>
  </conditionalFormatting>
  <conditionalFormatting sqref="P128">
    <cfRule type="containsBlanks" dxfId="1" priority="2">
      <formula>LEN(TRIM(P128))=0</formula>
    </cfRule>
  </conditionalFormatting>
  <conditionalFormatting sqref="Q128:R128">
    <cfRule type="containsBlanks" dxfId="0" priority="1">
      <formula>LEN(TRIM(Q128))=0</formula>
    </cfRule>
  </conditionalFormatting>
  <dataValidations count="9">
    <dataValidation type="list" allowBlank="1" showInputMessage="1" showErrorMessage="1" errorTitle="Calavera" error="Markel, en serio no te sabes los roles dle equipo?" sqref="J112 J117" xr:uid="{86861B03-5C82-408D-A1D5-E5D22BC2707D}">
      <formula1>"Avionics, Flight Control &amp; Simulation, Structure, Aerodynamics &amp; Recovery, Propulsion, Business &amp; Management "</formula1>
    </dataValidation>
    <dataValidation type="list" allowBlank="1" showInputMessage="1" showErrorMessage="1" errorTitle="Calavera" error="Por favor, introduce un valor de titulo que sea verdad" sqref="V112 U114" xr:uid="{F41918DB-40EC-4104-B750-A0B552E62CE3}">
      <formula1>"Chief / Project Manager, Discord Admin, Fase Pruebas, Chief, Miembro, Project Manager, Technical, Sin Rol"</formula1>
    </dataValidation>
    <dataValidation type="list" allowBlank="1" showInputMessage="1" showErrorMessage="1" errorTitle="Calavera" error="Solo puedes introducir: &quot;VERDADERO&quot; o &quot;FALSO&quot;" sqref="T121 U112 T124" xr:uid="{9CA4C421-765C-442A-AA79-B73B83A42823}">
      <formula1>"VERDADERO, FALSO"</formula1>
    </dataValidation>
    <dataValidation type="list" allowBlank="1" showInputMessage="1" showErrorMessage="1" errorTitle="Calavera" error="Solo permite &quot;VERDADERO&quot; o &quot;FALSO&quot;" sqref="S112 R114 R118:R121" xr:uid="{31BCBEF5-D541-40CF-B31A-08A442DE9796}">
      <formula1>"VERDADERO, FALSO"</formula1>
    </dataValidation>
    <dataValidation type="list" allowBlank="1" showInputMessage="1" showErrorMessage="1" errorTitle="Calavera" error="Markel, no todo el mundo puede ser hombre" sqref="C114 C117:C121 C124 C128" xr:uid="{BA5A120B-2EB8-406F-84C4-B1985977BC77}">
      <formula1>"Mujer, Hombre, Otro"</formula1>
    </dataValidation>
    <dataValidation type="list" allowBlank="1" showInputMessage="1" showErrorMessage="1" errorTitle="Calavera" error="Markel, en serio no te sabes el rol de la gente del equipo?" sqref="D112 D114 D117:D121 D124" xr:uid="{9FC2148A-B76E-43A1-B53D-B7EC1F0EA28B}">
      <formula1>"Technical, Project Manager, Chief, Chief / Project Manager, Financial Manager, Member, Team Leader, Fase de Pruebas"</formula1>
    </dataValidation>
    <dataValidation type="list" allowBlank="1" showInputMessage="1" showErrorMessage="1" errorTitle="Calavera" error="Markel, por favor, no sabes escribir tu propio equipo?" sqref="I112 I114 I117:I121" xr:uid="{F90726FF-783D-4488-A3F9-26321722FF8F}">
      <formula1>"Avionics, Flight Control &amp; Simulation, Structure, Aerodynamics &amp; Recovery, Propulsion, Business &amp; Management"</formula1>
    </dataValidation>
    <dataValidation type="list" allowBlank="1" showInputMessage="1" showErrorMessage="1" sqref="P112 P114 P116:P121 P128" xr:uid="{24A4F746-454E-4D3A-82B1-C8F80B3B7FC1}">
      <formula1>"GRADO, MÁSTER, DOCTORADO"</formula1>
    </dataValidation>
    <dataValidation type="list" operator="equal" allowBlank="1" showInputMessage="1" showErrorMessage="1" sqref="H124:I124" xr:uid="{4BC036B9-3DB1-428E-A24E-98A7A88F2D8F}">
      <formula1>"Avionics, Flight Control, Simulation, Structures &amp; Fabrication, Aerostructure, Recovery, Propulsion, Business &amp; Management"</formula1>
    </dataValidation>
  </dataValidations>
  <hyperlinks>
    <hyperlink ref="M112" r:id="rId1" xr:uid="{EBFCBC71-40AD-414E-9537-A013AAF81EA2}"/>
    <hyperlink ref="N112" r:id="rId2" xr:uid="{3EBA446C-F089-4847-9655-AFE7A3FE75D8}"/>
    <hyperlink ref="K114" r:id="rId3" xr:uid="{238378E0-40F4-4199-856E-6B22BC5ADB07}"/>
    <hyperlink ref="N117" r:id="rId4" xr:uid="{EABC3A79-D34B-4E2C-B3FD-77C1D8BFD3CA}"/>
    <hyperlink ref="M117" r:id="rId5" xr:uid="{27E4234A-F2BA-4EAC-809D-56EC19F52634}"/>
    <hyperlink ref="K117" r:id="rId6" xr:uid="{BC3CF4E2-74F2-4927-899B-2714B110A043}"/>
    <hyperlink ref="K118" r:id="rId7" xr:uid="{82D325D3-4F80-46B5-B60E-0DDA59217EC9}"/>
    <hyperlink ref="N118" r:id="rId8" xr:uid="{C249219C-00A1-4862-8F41-877559C177BB}"/>
    <hyperlink ref="K119" r:id="rId9" xr:uid="{8E17AD7C-53D8-4BC2-A51E-73734E5C6264}"/>
    <hyperlink ref="N119" r:id="rId10" xr:uid="{1D42ABBC-8582-4D32-8044-DC03B2F338ED}"/>
    <hyperlink ref="M118" r:id="rId11" xr:uid="{F24BDCB4-156D-4A7B-83D1-8367381F37BE}"/>
    <hyperlink ref="M119" r:id="rId12" xr:uid="{43323ADA-871F-4B57-A518-867F8C2BA7A5}"/>
    <hyperlink ref="N120" r:id="rId13" xr:uid="{10ECEAD0-BB3C-48F7-8E52-752C7660A884}"/>
    <hyperlink ref="K120" r:id="rId14" xr:uid="{13C8D0ED-9ABA-480B-9A2A-01C568FBE541}"/>
    <hyperlink ref="K121" r:id="rId15" xr:uid="{A2355B25-8425-4430-B67F-6FC6FF5179F8}"/>
    <hyperlink ref="M120" r:id="rId16" xr:uid="{EDBE3CB5-D5A8-4E26-9931-F04E18325E8D}"/>
    <hyperlink ref="N121" r:id="rId17" xr:uid="{0B3C7DCB-7926-4BA5-B6D1-386BE21DE07F}"/>
    <hyperlink ref="K122" r:id="rId18" xr:uid="{D0CF2390-66A3-4C7A-95F2-CE64E653BC5E}"/>
    <hyperlink ref="M122" r:id="rId19" xr:uid="{9976DA8C-FA92-4E0D-81EA-1FE6C9F83353}"/>
    <hyperlink ref="N122" r:id="rId20" xr:uid="{D0DF27A9-CAA8-4FD9-B869-058759F29B9B}"/>
    <hyperlink ref="M123" r:id="rId21" xr:uid="{2C0004D1-8E0F-47C9-994E-9DE35A9CB888}"/>
    <hyperlink ref="N123" r:id="rId22" xr:uid="{82D4BE67-4EF6-4AF5-AB48-5F27CAD32074}"/>
    <hyperlink ref="K124" r:id="rId23" xr:uid="{596B063C-791D-4F45-916C-06724DACBB5A}"/>
    <hyperlink ref="M124" r:id="rId24" xr:uid="{4F6926AD-F646-46B5-AE38-9E6B7B7ACD08}"/>
    <hyperlink ref="N124" r:id="rId25" xr:uid="{8AE81E32-0EF9-4B60-B17F-39831C6F610B}"/>
    <hyperlink ref="K128" r:id="rId26" xr:uid="{99923773-E289-4C2F-9ACB-CF142F2AC0D1}"/>
    <hyperlink ref="M128" r:id="rId27" xr:uid="{2683FA63-7A22-4ABC-BE4D-89AEC0F89DD7}"/>
    <hyperlink ref="N128" r:id="rId28" xr:uid="{18F9F228-3AFD-483D-BFD6-141FB2C8E5F9}"/>
  </hyperlinks>
  <pageMargins left="0.7" right="0.7" top="0.75" bottom="0.75" header="0.3" footer="0.3"/>
  <tableParts count="1">
    <tablePart r:id="rId2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6EB7-84E9-4777-A678-41CCF997975F}">
  <dimension ref="A1:H8"/>
  <sheetViews>
    <sheetView zoomScale="112" workbookViewId="0">
      <pane xSplit="1" topLeftCell="B1" activePane="topRight" state="frozen"/>
      <selection pane="topRight" activeCell="F3" sqref="F3"/>
    </sheetView>
  </sheetViews>
  <sheetFormatPr baseColWidth="10" defaultColWidth="11.42578125" defaultRowHeight="15" x14ac:dyDescent="0.25"/>
  <cols>
    <col min="1" max="1" width="34.28515625" customWidth="1"/>
    <col min="2" max="2" width="12.28515625" bestFit="1" customWidth="1"/>
    <col min="3" max="3" width="11.5703125" bestFit="1" customWidth="1"/>
    <col min="4" max="4" width="22.28515625" bestFit="1" customWidth="1"/>
    <col min="5" max="5" width="32.28515625" bestFit="1" customWidth="1"/>
    <col min="6" max="6" width="27.7109375" bestFit="1" customWidth="1"/>
    <col min="7" max="7" width="14.28515625" bestFit="1" customWidth="1"/>
  </cols>
  <sheetData>
    <row r="1" spans="1:8" x14ac:dyDescent="0.25">
      <c r="A1" s="1" t="s">
        <v>12</v>
      </c>
      <c r="B1" s="1" t="s">
        <v>13</v>
      </c>
      <c r="C1" s="1" t="s">
        <v>14</v>
      </c>
      <c r="D1" s="1" t="s">
        <v>15</v>
      </c>
      <c r="E1" s="2" t="s">
        <v>1142</v>
      </c>
      <c r="F1" s="1" t="s">
        <v>23</v>
      </c>
      <c r="G1" s="1" t="s">
        <v>25</v>
      </c>
      <c r="H1" s="1" t="s">
        <v>18</v>
      </c>
    </row>
    <row r="2" spans="1:8" x14ac:dyDescent="0.25">
      <c r="A2" s="13" t="s">
        <v>1143</v>
      </c>
      <c r="B2" s="1">
        <v>1</v>
      </c>
      <c r="C2" s="1" t="s">
        <v>39</v>
      </c>
      <c r="D2" s="1" t="s">
        <v>1144</v>
      </c>
      <c r="E2" s="2" t="s">
        <v>491</v>
      </c>
      <c r="F2" s="9" t="s">
        <v>1145</v>
      </c>
      <c r="G2" s="1">
        <v>630688315</v>
      </c>
      <c r="H2" s="1"/>
    </row>
    <row r="3" spans="1:8" x14ac:dyDescent="0.25">
      <c r="A3" s="13" t="s">
        <v>1146</v>
      </c>
      <c r="B3" s="1">
        <v>2</v>
      </c>
      <c r="C3" s="1" t="s">
        <v>39</v>
      </c>
      <c r="D3" s="1" t="s">
        <v>1144</v>
      </c>
      <c r="E3" s="2" t="s">
        <v>491</v>
      </c>
      <c r="F3" s="78" t="s">
        <v>1147</v>
      </c>
      <c r="G3" s="1">
        <v>688673541</v>
      </c>
      <c r="H3" s="1"/>
    </row>
    <row r="4" spans="1:8" x14ac:dyDescent="0.25">
      <c r="A4" s="13" t="s">
        <v>1148</v>
      </c>
      <c r="B4" s="1">
        <v>3</v>
      </c>
      <c r="C4" s="1" t="s">
        <v>62</v>
      </c>
      <c r="D4" s="1" t="s">
        <v>1144</v>
      </c>
      <c r="E4" s="2" t="s">
        <v>491</v>
      </c>
      <c r="F4" s="9" t="s">
        <v>1149</v>
      </c>
      <c r="G4" s="1"/>
      <c r="H4" s="1"/>
    </row>
    <row r="5" spans="1:8" x14ac:dyDescent="0.25">
      <c r="A5" s="13" t="s">
        <v>1150</v>
      </c>
      <c r="B5" s="1">
        <v>4</v>
      </c>
      <c r="C5" s="1" t="s">
        <v>39</v>
      </c>
      <c r="D5" s="1" t="s">
        <v>1144</v>
      </c>
      <c r="E5" s="2" t="s">
        <v>491</v>
      </c>
      <c r="F5" s="9" t="s">
        <v>1151</v>
      </c>
      <c r="G5" s="1"/>
      <c r="H5" s="1"/>
    </row>
    <row r="6" spans="1:8" x14ac:dyDescent="0.25">
      <c r="A6" s="13" t="s">
        <v>1152</v>
      </c>
      <c r="B6" s="1">
        <v>5</v>
      </c>
      <c r="C6" s="1" t="s">
        <v>39</v>
      </c>
      <c r="D6" s="1" t="s">
        <v>1144</v>
      </c>
      <c r="E6" s="2">
        <v>45545</v>
      </c>
      <c r="F6" s="9" t="s">
        <v>1153</v>
      </c>
      <c r="G6" s="1"/>
      <c r="H6" s="1"/>
    </row>
    <row r="7" spans="1:8" x14ac:dyDescent="0.25">
      <c r="A7" s="13"/>
      <c r="B7" s="1"/>
      <c r="C7" s="1"/>
      <c r="D7" s="1"/>
      <c r="E7" s="2"/>
      <c r="F7" s="1"/>
      <c r="G7" s="1"/>
    </row>
    <row r="8" spans="1:8" x14ac:dyDescent="0.25">
      <c r="A8" s="13"/>
      <c r="B8" s="1"/>
      <c r="C8" s="1"/>
      <c r="D8" s="1"/>
      <c r="E8" s="2"/>
      <c r="F8" s="1"/>
      <c r="G8" s="1"/>
    </row>
  </sheetData>
  <hyperlinks>
    <hyperlink ref="F6" r:id="rId1" xr:uid="{3DFFCF4C-A213-4A68-A3B9-F20320D418BC}"/>
    <hyperlink ref="F3" r:id="rId2" xr:uid="{AB627CAC-1638-439C-A279-3AB5E40C067A}"/>
    <hyperlink ref="F2" r:id="rId3" xr:uid="{D0F491ED-9C4E-43FB-9A16-E4C59324A1FB}"/>
    <hyperlink ref="F5" r:id="rId4" xr:uid="{8F3C0AC4-1C7A-4931-A9AA-4E789633325C}"/>
    <hyperlink ref="F4" r:id="rId5" xr:uid="{FF91C7A5-E554-48D8-B683-65FF01F45D1E}"/>
  </hyperlinks>
  <pageMargins left="0.7" right="0.7" top="0.75" bottom="0.75" header="0.3" footer="0.3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E33B-19C7-4BD0-8D88-CB0097A12F34}">
  <dimension ref="B2:AC77"/>
  <sheetViews>
    <sheetView zoomScale="85" zoomScaleNormal="85" workbookViewId="0">
      <selection activeCell="AE59" sqref="AE59"/>
    </sheetView>
  </sheetViews>
  <sheetFormatPr baseColWidth="10" defaultColWidth="11.42578125" defaultRowHeight="15" x14ac:dyDescent="0.25"/>
  <sheetData>
    <row r="2" spans="2:29" x14ac:dyDescent="0.25">
      <c r="B2" s="41" t="s">
        <v>1154</v>
      </c>
    </row>
    <row r="3" spans="2:29" x14ac:dyDescent="0.25">
      <c r="B3" s="42" t="s">
        <v>1155</v>
      </c>
    </row>
    <row r="4" spans="2:29" x14ac:dyDescent="0.25">
      <c r="B4" s="42"/>
    </row>
    <row r="6" spans="2:29" x14ac:dyDescent="0.25">
      <c r="C6" t="s">
        <v>1156</v>
      </c>
      <c r="D6" t="s">
        <v>1157</v>
      </c>
      <c r="E6" t="s">
        <v>1158</v>
      </c>
      <c r="F6" t="s">
        <v>1159</v>
      </c>
      <c r="G6" t="s">
        <v>1160</v>
      </c>
      <c r="H6" t="s">
        <v>1161</v>
      </c>
      <c r="I6" t="s">
        <v>1162</v>
      </c>
      <c r="J6" t="s">
        <v>481</v>
      </c>
      <c r="K6" t="s">
        <v>1163</v>
      </c>
      <c r="L6" t="s">
        <v>1164</v>
      </c>
      <c r="M6" t="s">
        <v>1165</v>
      </c>
      <c r="N6" t="s">
        <v>1166</v>
      </c>
      <c r="O6" t="s">
        <v>1167</v>
      </c>
      <c r="P6" t="s">
        <v>1168</v>
      </c>
      <c r="Q6" t="s">
        <v>1169</v>
      </c>
      <c r="R6" t="s">
        <v>1170</v>
      </c>
      <c r="S6" t="s">
        <v>1171</v>
      </c>
      <c r="T6" t="s">
        <v>1172</v>
      </c>
      <c r="U6" t="s">
        <v>1173</v>
      </c>
      <c r="V6" t="s">
        <v>1174</v>
      </c>
      <c r="W6" t="s">
        <v>1175</v>
      </c>
      <c r="X6" t="s">
        <v>1176</v>
      </c>
      <c r="Y6" t="s">
        <v>1177</v>
      </c>
      <c r="Z6" t="s">
        <v>1178</v>
      </c>
      <c r="AA6" t="s">
        <v>1179</v>
      </c>
      <c r="AB6" t="s">
        <v>1180</v>
      </c>
      <c r="AC6" t="s">
        <v>1181</v>
      </c>
    </row>
    <row r="7" spans="2:29" x14ac:dyDescent="0.25">
      <c r="C7" t="s">
        <v>38</v>
      </c>
      <c r="D7">
        <v>1</v>
      </c>
      <c r="E7" t="s">
        <v>39</v>
      </c>
      <c r="F7" t="s">
        <v>40</v>
      </c>
      <c r="G7" s="43">
        <v>44082</v>
      </c>
      <c r="H7" s="43"/>
      <c r="I7" t="s">
        <v>41</v>
      </c>
      <c r="J7" t="s">
        <v>42</v>
      </c>
      <c r="L7" t="s">
        <v>43</v>
      </c>
      <c r="M7" t="s">
        <v>44</v>
      </c>
      <c r="N7" t="s">
        <v>45</v>
      </c>
      <c r="O7" t="s">
        <v>46</v>
      </c>
      <c r="P7">
        <v>688825602</v>
      </c>
      <c r="Q7" t="s">
        <v>47</v>
      </c>
      <c r="R7" t="s">
        <v>48</v>
      </c>
      <c r="S7" t="s">
        <v>49</v>
      </c>
      <c r="T7" t="b">
        <v>0</v>
      </c>
      <c r="V7" t="b">
        <v>1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s">
        <v>262</v>
      </c>
    </row>
    <row r="8" spans="2:29" x14ac:dyDescent="0.25">
      <c r="C8" t="s">
        <v>463</v>
      </c>
      <c r="D8">
        <v>2</v>
      </c>
      <c r="E8" t="s">
        <v>39</v>
      </c>
      <c r="F8" t="s">
        <v>40</v>
      </c>
      <c r="G8" s="43">
        <v>44137</v>
      </c>
      <c r="H8" s="43">
        <v>43842</v>
      </c>
      <c r="I8" t="s">
        <v>464</v>
      </c>
      <c r="J8" t="s">
        <v>407</v>
      </c>
      <c r="L8" t="s">
        <v>465</v>
      </c>
      <c r="M8" t="s">
        <v>44</v>
      </c>
      <c r="N8" t="s">
        <v>466</v>
      </c>
      <c r="O8" t="s">
        <v>467</v>
      </c>
      <c r="P8">
        <v>688877519</v>
      </c>
      <c r="Q8" t="s">
        <v>99</v>
      </c>
      <c r="R8" t="s">
        <v>71</v>
      </c>
      <c r="T8" t="b">
        <v>0</v>
      </c>
      <c r="U8" t="s">
        <v>468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0</v>
      </c>
      <c r="AB8" t="b">
        <v>0</v>
      </c>
      <c r="AC8" t="s">
        <v>40</v>
      </c>
    </row>
    <row r="9" spans="2:29" x14ac:dyDescent="0.25">
      <c r="C9" t="s">
        <v>450</v>
      </c>
      <c r="D9">
        <v>3</v>
      </c>
      <c r="E9" t="s">
        <v>62</v>
      </c>
      <c r="F9" t="s">
        <v>40</v>
      </c>
      <c r="G9" s="43">
        <v>44137</v>
      </c>
      <c r="H9" s="43">
        <v>43842</v>
      </c>
      <c r="I9" t="s">
        <v>451</v>
      </c>
      <c r="J9" t="s">
        <v>407</v>
      </c>
      <c r="L9" t="s">
        <v>452</v>
      </c>
      <c r="M9" t="s">
        <v>44</v>
      </c>
      <c r="N9" t="s">
        <v>453</v>
      </c>
      <c r="O9" t="s">
        <v>454</v>
      </c>
      <c r="P9">
        <v>639415020</v>
      </c>
      <c r="Q9" t="s">
        <v>69</v>
      </c>
      <c r="R9" t="s">
        <v>455</v>
      </c>
      <c r="S9" t="s">
        <v>260</v>
      </c>
      <c r="T9" t="b">
        <v>0</v>
      </c>
      <c r="U9" t="s">
        <v>456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0</v>
      </c>
      <c r="AB9" t="b">
        <v>0</v>
      </c>
      <c r="AC9" t="s">
        <v>40</v>
      </c>
    </row>
    <row r="10" spans="2:29" x14ac:dyDescent="0.25">
      <c r="C10" t="s">
        <v>52</v>
      </c>
      <c r="D10">
        <v>4</v>
      </c>
      <c r="E10" t="s">
        <v>39</v>
      </c>
      <c r="F10" t="s">
        <v>85</v>
      </c>
      <c r="G10" s="43">
        <v>44137</v>
      </c>
      <c r="H10" s="43">
        <v>43842</v>
      </c>
      <c r="I10" t="s">
        <v>53</v>
      </c>
      <c r="J10" t="s">
        <v>407</v>
      </c>
      <c r="L10" t="s">
        <v>55</v>
      </c>
      <c r="M10" t="s">
        <v>44</v>
      </c>
      <c r="N10" t="s">
        <v>56</v>
      </c>
      <c r="O10" t="s">
        <v>57</v>
      </c>
      <c r="P10">
        <v>629964492</v>
      </c>
      <c r="Q10" t="s">
        <v>47</v>
      </c>
      <c r="R10" t="s">
        <v>58</v>
      </c>
      <c r="S10" t="s">
        <v>59</v>
      </c>
      <c r="T10" t="b">
        <v>0</v>
      </c>
      <c r="U10" t="s">
        <v>60</v>
      </c>
      <c r="V10" t="b">
        <v>1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s">
        <v>143</v>
      </c>
    </row>
    <row r="11" spans="2:29" x14ac:dyDescent="0.25">
      <c r="C11" t="s">
        <v>61</v>
      </c>
      <c r="D11">
        <v>5</v>
      </c>
      <c r="E11" t="s">
        <v>62</v>
      </c>
      <c r="F11" t="s">
        <v>73</v>
      </c>
      <c r="G11" s="43">
        <v>44387</v>
      </c>
      <c r="H11" s="43">
        <v>44481</v>
      </c>
      <c r="I11" t="s">
        <v>64</v>
      </c>
      <c r="J11" t="s">
        <v>407</v>
      </c>
      <c r="L11" t="s">
        <v>65</v>
      </c>
      <c r="M11" t="s">
        <v>44</v>
      </c>
      <c r="N11" t="s">
        <v>67</v>
      </c>
      <c r="O11" t="s">
        <v>68</v>
      </c>
      <c r="P11">
        <v>646971469</v>
      </c>
      <c r="Q11" t="s">
        <v>99</v>
      </c>
      <c r="R11" t="s">
        <v>71</v>
      </c>
      <c r="T11" t="b">
        <v>0</v>
      </c>
      <c r="U11" t="s">
        <v>72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0</v>
      </c>
      <c r="AB11" t="b">
        <v>0</v>
      </c>
      <c r="AC11" t="s">
        <v>51</v>
      </c>
    </row>
    <row r="12" spans="2:29" x14ac:dyDescent="0.25">
      <c r="C12" t="s">
        <v>74</v>
      </c>
      <c r="D12">
        <v>6</v>
      </c>
      <c r="E12" t="s">
        <v>39</v>
      </c>
      <c r="F12" t="s">
        <v>75</v>
      </c>
      <c r="G12" s="43">
        <v>44456</v>
      </c>
      <c r="H12" s="43">
        <v>44486</v>
      </c>
      <c r="I12" t="s">
        <v>76</v>
      </c>
      <c r="J12" t="s">
        <v>421</v>
      </c>
      <c r="L12" t="s">
        <v>78</v>
      </c>
      <c r="M12" t="s">
        <v>44</v>
      </c>
      <c r="N12" t="s">
        <v>79</v>
      </c>
      <c r="O12" t="s">
        <v>80</v>
      </c>
      <c r="P12">
        <v>684128280</v>
      </c>
      <c r="Q12" t="s">
        <v>69</v>
      </c>
      <c r="R12" t="s">
        <v>81</v>
      </c>
      <c r="S12" t="s">
        <v>82</v>
      </c>
      <c r="T12" t="b">
        <v>0</v>
      </c>
      <c r="U12" t="s">
        <v>83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s">
        <v>73</v>
      </c>
    </row>
    <row r="13" spans="2:29" x14ac:dyDescent="0.25">
      <c r="C13" t="s">
        <v>84</v>
      </c>
      <c r="D13">
        <v>7</v>
      </c>
      <c r="E13" t="s">
        <v>39</v>
      </c>
      <c r="F13" t="s">
        <v>63</v>
      </c>
      <c r="G13" s="43">
        <v>44465</v>
      </c>
      <c r="H13" s="43">
        <v>44481</v>
      </c>
      <c r="I13" t="s">
        <v>86</v>
      </c>
      <c r="J13" t="s">
        <v>87</v>
      </c>
      <c r="L13" t="s">
        <v>88</v>
      </c>
      <c r="M13" t="s">
        <v>44</v>
      </c>
      <c r="N13" t="s">
        <v>89</v>
      </c>
      <c r="O13" t="s">
        <v>90</v>
      </c>
      <c r="P13">
        <v>693844570</v>
      </c>
      <c r="Q13" t="s">
        <v>69</v>
      </c>
      <c r="R13" t="s">
        <v>81</v>
      </c>
      <c r="S13" t="s">
        <v>82</v>
      </c>
      <c r="T13" t="b">
        <v>0</v>
      </c>
      <c r="U13" t="s">
        <v>91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0</v>
      </c>
      <c r="AB13" t="b">
        <v>1</v>
      </c>
      <c r="AC13" t="s">
        <v>92</v>
      </c>
    </row>
    <row r="14" spans="2:29" x14ac:dyDescent="0.25">
      <c r="C14" t="s">
        <v>1104</v>
      </c>
      <c r="D14">
        <v>8</v>
      </c>
      <c r="E14" t="s">
        <v>39</v>
      </c>
      <c r="F14" t="s">
        <v>40</v>
      </c>
      <c r="G14" s="43">
        <v>44482</v>
      </c>
      <c r="H14" s="43">
        <v>44885</v>
      </c>
      <c r="I14" t="s">
        <v>1105</v>
      </c>
      <c r="J14" t="s">
        <v>87</v>
      </c>
      <c r="L14" t="s">
        <v>1106</v>
      </c>
      <c r="M14" t="s">
        <v>44</v>
      </c>
      <c r="N14" t="s">
        <v>1101</v>
      </c>
      <c r="O14" t="s">
        <v>1107</v>
      </c>
      <c r="P14">
        <v>634400678</v>
      </c>
      <c r="Q14" t="s">
        <v>99</v>
      </c>
      <c r="R14" t="s">
        <v>82</v>
      </c>
      <c r="T14" t="b">
        <v>0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0</v>
      </c>
      <c r="AB14" t="b">
        <v>0</v>
      </c>
      <c r="AC14" t="s">
        <v>1182</v>
      </c>
    </row>
    <row r="15" spans="2:29" x14ac:dyDescent="0.25">
      <c r="C15" t="s">
        <v>93</v>
      </c>
      <c r="D15">
        <v>9</v>
      </c>
      <c r="E15" t="s">
        <v>39</v>
      </c>
      <c r="F15" t="s">
        <v>40</v>
      </c>
      <c r="G15" s="43">
        <v>44482</v>
      </c>
      <c r="H15" s="43">
        <v>44513</v>
      </c>
      <c r="I15" t="s">
        <v>94</v>
      </c>
      <c r="J15" t="s">
        <v>421</v>
      </c>
      <c r="K15" t="s">
        <v>87</v>
      </c>
      <c r="M15" t="s">
        <v>44</v>
      </c>
      <c r="N15" t="s">
        <v>97</v>
      </c>
      <c r="O15" t="s">
        <v>98</v>
      </c>
      <c r="P15">
        <v>687144411</v>
      </c>
      <c r="Q15" t="s">
        <v>99</v>
      </c>
      <c r="R15" t="s">
        <v>100</v>
      </c>
      <c r="T15" t="b">
        <v>0</v>
      </c>
      <c r="U15" t="s">
        <v>101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0</v>
      </c>
      <c r="AC15" t="s">
        <v>1182</v>
      </c>
    </row>
    <row r="16" spans="2:29" x14ac:dyDescent="0.25">
      <c r="C16" t="s">
        <v>102</v>
      </c>
      <c r="D16">
        <v>10</v>
      </c>
      <c r="E16" t="s">
        <v>39</v>
      </c>
      <c r="F16" t="s">
        <v>40</v>
      </c>
      <c r="G16" s="43">
        <v>44482</v>
      </c>
      <c r="H16" s="43">
        <v>44885</v>
      </c>
      <c r="I16" t="s">
        <v>103</v>
      </c>
      <c r="J16" t="s">
        <v>87</v>
      </c>
      <c r="L16" t="s">
        <v>104</v>
      </c>
      <c r="M16" t="s">
        <v>44</v>
      </c>
      <c r="N16" t="s">
        <v>105</v>
      </c>
      <c r="O16" t="s">
        <v>106</v>
      </c>
      <c r="P16">
        <v>688607624</v>
      </c>
      <c r="Q16" t="s">
        <v>69</v>
      </c>
      <c r="R16" t="s">
        <v>107</v>
      </c>
      <c r="S16" t="s">
        <v>82</v>
      </c>
      <c r="T16" t="b">
        <v>0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0</v>
      </c>
      <c r="AB16" t="b">
        <v>0</v>
      </c>
      <c r="AC16" t="s">
        <v>143</v>
      </c>
    </row>
    <row r="17" spans="3:29" x14ac:dyDescent="0.25">
      <c r="C17" t="s">
        <v>438</v>
      </c>
      <c r="D17">
        <v>11</v>
      </c>
      <c r="E17" t="s">
        <v>39</v>
      </c>
      <c r="F17" t="s">
        <v>143</v>
      </c>
      <c r="G17" s="43">
        <v>44482</v>
      </c>
      <c r="H17" s="43">
        <v>44885</v>
      </c>
      <c r="I17" t="s">
        <v>439</v>
      </c>
      <c r="J17" t="s">
        <v>87</v>
      </c>
      <c r="L17" t="s">
        <v>440</v>
      </c>
      <c r="M17" t="s">
        <v>44</v>
      </c>
      <c r="N17" t="s">
        <v>441</v>
      </c>
      <c r="O17" t="s">
        <v>442</v>
      </c>
      <c r="P17">
        <v>626753444</v>
      </c>
      <c r="Q17" t="s">
        <v>69</v>
      </c>
      <c r="R17" t="s">
        <v>425</v>
      </c>
      <c r="T17" t="b">
        <v>1</v>
      </c>
      <c r="U17" t="s">
        <v>443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0</v>
      </c>
      <c r="AC17" t="s">
        <v>1182</v>
      </c>
    </row>
    <row r="18" spans="3:29" x14ac:dyDescent="0.25">
      <c r="C18" t="s">
        <v>115</v>
      </c>
      <c r="D18">
        <v>12</v>
      </c>
      <c r="E18" t="s">
        <v>39</v>
      </c>
      <c r="F18" t="s">
        <v>73</v>
      </c>
      <c r="G18" s="43">
        <v>44482</v>
      </c>
      <c r="H18" s="43"/>
      <c r="I18" t="s">
        <v>117</v>
      </c>
      <c r="J18" t="s">
        <v>42</v>
      </c>
      <c r="L18" t="s">
        <v>118</v>
      </c>
      <c r="M18" t="s">
        <v>44</v>
      </c>
      <c r="N18" t="s">
        <v>119</v>
      </c>
      <c r="O18" t="s">
        <v>120</v>
      </c>
      <c r="P18">
        <v>619425918</v>
      </c>
      <c r="Q18" t="s">
        <v>69</v>
      </c>
      <c r="R18" t="s">
        <v>121</v>
      </c>
      <c r="S18" t="s">
        <v>71</v>
      </c>
      <c r="T18" t="b">
        <v>0</v>
      </c>
      <c r="U18" t="s">
        <v>1183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0</v>
      </c>
      <c r="AC18" t="s">
        <v>73</v>
      </c>
    </row>
    <row r="19" spans="3:29" x14ac:dyDescent="0.25">
      <c r="C19" t="s">
        <v>109</v>
      </c>
      <c r="D19">
        <v>13</v>
      </c>
      <c r="E19" t="s">
        <v>62</v>
      </c>
      <c r="F19" t="s">
        <v>40</v>
      </c>
      <c r="G19" s="43">
        <v>44482</v>
      </c>
      <c r="H19" s="43">
        <v>44885</v>
      </c>
      <c r="I19" t="s">
        <v>110</v>
      </c>
      <c r="J19" t="s">
        <v>87</v>
      </c>
      <c r="L19" t="s">
        <v>111</v>
      </c>
      <c r="M19" t="s">
        <v>44</v>
      </c>
      <c r="N19" t="s">
        <v>112</v>
      </c>
      <c r="O19" t="s">
        <v>113</v>
      </c>
      <c r="P19">
        <v>688873991</v>
      </c>
      <c r="Q19" t="s">
        <v>99</v>
      </c>
      <c r="R19" t="s">
        <v>82</v>
      </c>
      <c r="T19" t="b">
        <v>0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0</v>
      </c>
      <c r="AB19" t="b">
        <v>0</v>
      </c>
      <c r="AC19" t="s">
        <v>1182</v>
      </c>
    </row>
    <row r="20" spans="3:29" x14ac:dyDescent="0.25">
      <c r="C20" t="s">
        <v>123</v>
      </c>
      <c r="D20">
        <v>14</v>
      </c>
      <c r="E20" t="s">
        <v>39</v>
      </c>
      <c r="F20" t="s">
        <v>116</v>
      </c>
      <c r="G20" s="43">
        <v>44691</v>
      </c>
      <c r="H20" s="43"/>
      <c r="I20" t="s">
        <v>124</v>
      </c>
      <c r="J20" t="s">
        <v>483</v>
      </c>
      <c r="L20" t="s">
        <v>126</v>
      </c>
      <c r="M20" t="s">
        <v>44</v>
      </c>
      <c r="N20" t="s">
        <v>127</v>
      </c>
      <c r="O20" t="s">
        <v>128</v>
      </c>
      <c r="P20">
        <v>617137417</v>
      </c>
      <c r="Q20" t="s">
        <v>99</v>
      </c>
      <c r="R20" t="s">
        <v>100</v>
      </c>
      <c r="T20" t="b">
        <v>0</v>
      </c>
      <c r="U20" t="s">
        <v>129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0</v>
      </c>
      <c r="AC20" t="s">
        <v>116</v>
      </c>
    </row>
    <row r="21" spans="3:29" x14ac:dyDescent="0.25">
      <c r="C21" t="s">
        <v>142</v>
      </c>
      <c r="D21">
        <v>15</v>
      </c>
      <c r="E21" t="s">
        <v>39</v>
      </c>
      <c r="F21" t="s">
        <v>116</v>
      </c>
      <c r="G21" s="43">
        <v>44844</v>
      </c>
      <c r="H21" s="43"/>
      <c r="I21" t="s">
        <v>144</v>
      </c>
      <c r="J21" t="s">
        <v>42</v>
      </c>
      <c r="L21" t="s">
        <v>145</v>
      </c>
      <c r="M21" t="s">
        <v>44</v>
      </c>
      <c r="N21" t="s">
        <v>146</v>
      </c>
      <c r="O21" t="s">
        <v>147</v>
      </c>
      <c r="P21">
        <v>697561955</v>
      </c>
      <c r="Q21" t="s">
        <v>69</v>
      </c>
      <c r="R21" t="s">
        <v>70</v>
      </c>
      <c r="S21" t="s">
        <v>71</v>
      </c>
      <c r="T21" t="b">
        <v>0</v>
      </c>
      <c r="U21" t="s">
        <v>1184</v>
      </c>
      <c r="V21" t="b">
        <v>1</v>
      </c>
      <c r="W21" t="b">
        <v>1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s">
        <v>1182</v>
      </c>
    </row>
    <row r="22" spans="3:29" x14ac:dyDescent="0.25">
      <c r="C22" t="s">
        <v>136</v>
      </c>
      <c r="D22">
        <v>16</v>
      </c>
      <c r="E22" t="s">
        <v>39</v>
      </c>
      <c r="F22" t="s">
        <v>85</v>
      </c>
      <c r="G22" s="43">
        <v>44844</v>
      </c>
      <c r="H22" s="43"/>
      <c r="I22" t="s">
        <v>137</v>
      </c>
      <c r="J22" t="s">
        <v>42</v>
      </c>
      <c r="L22" t="s">
        <v>138</v>
      </c>
      <c r="M22" t="s">
        <v>44</v>
      </c>
      <c r="N22" t="s">
        <v>139</v>
      </c>
      <c r="O22" t="s">
        <v>140</v>
      </c>
      <c r="P22">
        <v>640281841</v>
      </c>
      <c r="Q22" t="s">
        <v>99</v>
      </c>
      <c r="R22" t="s">
        <v>71</v>
      </c>
      <c r="T22" t="b">
        <v>0</v>
      </c>
      <c r="V22" t="b">
        <v>1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s">
        <v>1182</v>
      </c>
    </row>
    <row r="23" spans="3:29" x14ac:dyDescent="0.25">
      <c r="C23" t="s">
        <v>130</v>
      </c>
      <c r="D23">
        <v>17</v>
      </c>
      <c r="E23" t="s">
        <v>39</v>
      </c>
      <c r="F23" t="s">
        <v>40</v>
      </c>
      <c r="G23" s="43">
        <v>44844</v>
      </c>
      <c r="H23" s="43"/>
      <c r="I23" t="s">
        <v>131</v>
      </c>
      <c r="J23" t="s">
        <v>42</v>
      </c>
      <c r="L23" t="s">
        <v>132</v>
      </c>
      <c r="M23" t="s">
        <v>44</v>
      </c>
      <c r="N23" t="s">
        <v>133</v>
      </c>
      <c r="O23" t="s">
        <v>134</v>
      </c>
      <c r="P23">
        <v>688866012</v>
      </c>
      <c r="Q23" t="s">
        <v>99</v>
      </c>
      <c r="R23" t="s">
        <v>71</v>
      </c>
      <c r="T23" t="b">
        <v>0</v>
      </c>
      <c r="V23" t="b">
        <v>1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s">
        <v>1182</v>
      </c>
    </row>
    <row r="24" spans="3:29" x14ac:dyDescent="0.25">
      <c r="C24" t="s">
        <v>156</v>
      </c>
      <c r="D24">
        <v>18</v>
      </c>
      <c r="E24" t="s">
        <v>39</v>
      </c>
      <c r="F24" t="s">
        <v>85</v>
      </c>
      <c r="G24" s="43">
        <v>44852</v>
      </c>
      <c r="H24" s="43"/>
      <c r="I24" t="s">
        <v>157</v>
      </c>
      <c r="J24" t="s">
        <v>151</v>
      </c>
      <c r="K24" t="s">
        <v>87</v>
      </c>
      <c r="L24" t="s">
        <v>158</v>
      </c>
      <c r="M24" t="s">
        <v>44</v>
      </c>
      <c r="N24" t="s">
        <v>159</v>
      </c>
      <c r="O24" t="s">
        <v>160</v>
      </c>
      <c r="P24">
        <v>633279950</v>
      </c>
      <c r="Q24" t="s">
        <v>99</v>
      </c>
      <c r="R24" t="s">
        <v>82</v>
      </c>
      <c r="T24" t="b">
        <v>0</v>
      </c>
      <c r="V24" t="b">
        <v>1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s">
        <v>1182</v>
      </c>
    </row>
    <row r="25" spans="3:29" x14ac:dyDescent="0.25">
      <c r="C25" t="s">
        <v>149</v>
      </c>
      <c r="D25">
        <v>19</v>
      </c>
      <c r="E25" t="s">
        <v>39</v>
      </c>
      <c r="F25" t="s">
        <v>143</v>
      </c>
      <c r="G25" s="43">
        <v>44852</v>
      </c>
      <c r="H25" s="43"/>
      <c r="I25" t="s">
        <v>150</v>
      </c>
      <c r="J25" t="s">
        <v>151</v>
      </c>
      <c r="K25" t="s">
        <v>407</v>
      </c>
      <c r="L25" t="s">
        <v>152</v>
      </c>
      <c r="M25" t="s">
        <v>44</v>
      </c>
      <c r="N25" t="s">
        <v>153</v>
      </c>
      <c r="O25" t="s">
        <v>154</v>
      </c>
      <c r="P25">
        <v>688723130</v>
      </c>
      <c r="Q25" t="s">
        <v>99</v>
      </c>
      <c r="R25" t="s">
        <v>82</v>
      </c>
      <c r="T25" t="b">
        <v>0</v>
      </c>
      <c r="V25" t="b">
        <v>1</v>
      </c>
      <c r="W25" t="b">
        <v>1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s">
        <v>1182</v>
      </c>
    </row>
    <row r="26" spans="3:29" x14ac:dyDescent="0.25">
      <c r="C26" t="s">
        <v>162</v>
      </c>
      <c r="D26">
        <v>20</v>
      </c>
      <c r="E26" t="s">
        <v>62</v>
      </c>
      <c r="F26" t="s">
        <v>85</v>
      </c>
      <c r="G26" s="43">
        <v>44875</v>
      </c>
      <c r="H26" s="43">
        <v>44896</v>
      </c>
      <c r="I26" t="s">
        <v>163</v>
      </c>
      <c r="J26" t="s">
        <v>407</v>
      </c>
      <c r="L26" t="s">
        <v>164</v>
      </c>
      <c r="M26" t="s">
        <v>44</v>
      </c>
      <c r="N26" t="s">
        <v>165</v>
      </c>
      <c r="O26" t="s">
        <v>166</v>
      </c>
      <c r="P26">
        <v>697939075</v>
      </c>
      <c r="Q26" t="s">
        <v>69</v>
      </c>
      <c r="R26" t="s">
        <v>70</v>
      </c>
      <c r="S26" t="s">
        <v>71</v>
      </c>
      <c r="T26" t="b">
        <v>0</v>
      </c>
      <c r="U26" t="s">
        <v>167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0</v>
      </c>
      <c r="AB26" t="b">
        <v>0</v>
      </c>
      <c r="AC26" t="s">
        <v>51</v>
      </c>
    </row>
    <row r="27" spans="3:29" x14ac:dyDescent="0.25">
      <c r="C27" t="s">
        <v>168</v>
      </c>
      <c r="D27">
        <v>21</v>
      </c>
      <c r="E27" t="s">
        <v>39</v>
      </c>
      <c r="F27" t="s">
        <v>40</v>
      </c>
      <c r="G27" s="43">
        <v>44900</v>
      </c>
      <c r="H27" s="43"/>
      <c r="I27" t="s">
        <v>169</v>
      </c>
      <c r="J27" t="s">
        <v>483</v>
      </c>
      <c r="L27" t="s">
        <v>170</v>
      </c>
      <c r="M27" t="s">
        <v>44</v>
      </c>
      <c r="N27" t="s">
        <v>171</v>
      </c>
      <c r="O27" t="s">
        <v>172</v>
      </c>
      <c r="P27">
        <v>625295113</v>
      </c>
      <c r="Q27" t="s">
        <v>99</v>
      </c>
      <c r="R27" t="s">
        <v>100</v>
      </c>
      <c r="T27" t="b">
        <v>0</v>
      </c>
      <c r="U27" t="s">
        <v>173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s">
        <v>116</v>
      </c>
    </row>
    <row r="28" spans="3:29" x14ac:dyDescent="0.25">
      <c r="C28" t="s">
        <v>174</v>
      </c>
      <c r="D28">
        <v>22</v>
      </c>
      <c r="E28" t="s">
        <v>39</v>
      </c>
      <c r="F28" t="s">
        <v>73</v>
      </c>
      <c r="G28" s="43">
        <v>44900</v>
      </c>
      <c r="H28" s="43"/>
      <c r="I28" t="s">
        <v>175</v>
      </c>
      <c r="J28" t="s">
        <v>483</v>
      </c>
      <c r="L28" t="s">
        <v>176</v>
      </c>
      <c r="M28" t="s">
        <v>44</v>
      </c>
      <c r="N28" t="s">
        <v>178</v>
      </c>
      <c r="O28" t="s">
        <v>179</v>
      </c>
      <c r="P28">
        <v>616149530</v>
      </c>
      <c r="Q28" t="s">
        <v>99</v>
      </c>
      <c r="R28" t="s">
        <v>82</v>
      </c>
      <c r="T28" t="b">
        <v>0</v>
      </c>
      <c r="U28" t="s">
        <v>180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s">
        <v>116</v>
      </c>
    </row>
    <row r="29" spans="3:29" x14ac:dyDescent="0.25">
      <c r="C29" t="s">
        <v>193</v>
      </c>
      <c r="D29">
        <v>23</v>
      </c>
      <c r="E29" t="s">
        <v>39</v>
      </c>
      <c r="F29" t="s">
        <v>85</v>
      </c>
      <c r="G29" s="43">
        <v>45015</v>
      </c>
      <c r="H29" s="43">
        <v>45073</v>
      </c>
      <c r="I29" t="s">
        <v>194</v>
      </c>
      <c r="J29" t="s">
        <v>407</v>
      </c>
      <c r="L29" t="s">
        <v>196</v>
      </c>
      <c r="M29" t="s">
        <v>44</v>
      </c>
      <c r="N29" t="s">
        <v>197</v>
      </c>
      <c r="O29" t="s">
        <v>198</v>
      </c>
      <c r="P29">
        <v>611440700</v>
      </c>
      <c r="Q29" t="s">
        <v>99</v>
      </c>
      <c r="R29" t="s">
        <v>71</v>
      </c>
      <c r="T29" t="b">
        <v>0</v>
      </c>
      <c r="U29" t="s">
        <v>199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0</v>
      </c>
      <c r="AB29" t="b">
        <v>0</v>
      </c>
      <c r="AC29" t="s">
        <v>51</v>
      </c>
    </row>
    <row r="30" spans="3:29" x14ac:dyDescent="0.25">
      <c r="C30" t="s">
        <v>457</v>
      </c>
      <c r="D30">
        <v>24</v>
      </c>
      <c r="E30" t="s">
        <v>39</v>
      </c>
      <c r="F30" t="s">
        <v>40</v>
      </c>
      <c r="G30" s="43">
        <v>45015</v>
      </c>
      <c r="H30" s="43">
        <v>45071</v>
      </c>
      <c r="I30" t="s">
        <v>458</v>
      </c>
      <c r="J30" t="s">
        <v>407</v>
      </c>
      <c r="L30" t="s">
        <v>459</v>
      </c>
      <c r="M30" t="s">
        <v>44</v>
      </c>
      <c r="N30" t="s">
        <v>460</v>
      </c>
      <c r="O30" t="s">
        <v>461</v>
      </c>
      <c r="P30">
        <v>629773745</v>
      </c>
      <c r="Q30" t="s">
        <v>99</v>
      </c>
      <c r="R30" t="s">
        <v>71</v>
      </c>
      <c r="T30" t="b">
        <v>0</v>
      </c>
      <c r="U30" t="s">
        <v>462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0</v>
      </c>
      <c r="AB30" t="b">
        <v>0</v>
      </c>
      <c r="AC30" t="s">
        <v>40</v>
      </c>
    </row>
    <row r="31" spans="3:29" x14ac:dyDescent="0.25">
      <c r="C31" t="s">
        <v>200</v>
      </c>
      <c r="D31">
        <v>25</v>
      </c>
      <c r="E31" t="s">
        <v>62</v>
      </c>
      <c r="F31" t="s">
        <v>85</v>
      </c>
      <c r="G31" s="43">
        <v>45183</v>
      </c>
      <c r="H31" s="43">
        <v>45223</v>
      </c>
      <c r="I31" t="s">
        <v>201</v>
      </c>
      <c r="J31" t="s">
        <v>483</v>
      </c>
      <c r="L31" t="s">
        <v>202</v>
      </c>
      <c r="M31" t="s">
        <v>44</v>
      </c>
      <c r="N31" t="s">
        <v>203</v>
      </c>
      <c r="O31" t="s">
        <v>204</v>
      </c>
      <c r="P31">
        <v>688631449</v>
      </c>
      <c r="Q31" t="s">
        <v>99</v>
      </c>
      <c r="R31" t="s">
        <v>100</v>
      </c>
      <c r="T31" t="b">
        <v>0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0</v>
      </c>
      <c r="AC31" t="s">
        <v>1182</v>
      </c>
    </row>
    <row r="32" spans="3:29" x14ac:dyDescent="0.25">
      <c r="C32" t="s">
        <v>206</v>
      </c>
      <c r="D32">
        <v>26</v>
      </c>
      <c r="E32" t="s">
        <v>39</v>
      </c>
      <c r="F32" t="s">
        <v>40</v>
      </c>
      <c r="G32" s="43">
        <v>45202</v>
      </c>
      <c r="H32" s="43"/>
      <c r="I32" t="s">
        <v>207</v>
      </c>
      <c r="J32" t="s">
        <v>42</v>
      </c>
      <c r="M32" t="s">
        <v>44</v>
      </c>
      <c r="N32" t="s">
        <v>209</v>
      </c>
      <c r="O32" t="s">
        <v>210</v>
      </c>
      <c r="P32">
        <v>684219337</v>
      </c>
      <c r="Q32" t="s">
        <v>99</v>
      </c>
      <c r="R32" t="s">
        <v>211</v>
      </c>
      <c r="T32" t="b">
        <v>0</v>
      </c>
      <c r="V32" t="b">
        <v>1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s">
        <v>1182</v>
      </c>
    </row>
    <row r="33" spans="3:29" x14ac:dyDescent="0.25">
      <c r="C33" t="s">
        <v>1118</v>
      </c>
      <c r="D33">
        <v>27</v>
      </c>
      <c r="E33" t="s">
        <v>62</v>
      </c>
      <c r="F33" t="s">
        <v>40</v>
      </c>
      <c r="G33" s="43">
        <v>45202</v>
      </c>
      <c r="H33" s="43"/>
      <c r="I33" t="s">
        <v>1119</v>
      </c>
      <c r="J33" t="s">
        <v>42</v>
      </c>
      <c r="L33" t="s">
        <v>1120</v>
      </c>
      <c r="M33" t="s">
        <v>44</v>
      </c>
      <c r="N33" t="s">
        <v>1121</v>
      </c>
      <c r="O33" t="s">
        <v>1122</v>
      </c>
      <c r="P33">
        <v>688801224</v>
      </c>
      <c r="Q33" t="s">
        <v>69</v>
      </c>
      <c r="R33" t="s">
        <v>455</v>
      </c>
      <c r="S33" t="s">
        <v>260</v>
      </c>
      <c r="T33" t="b">
        <v>0</v>
      </c>
      <c r="V33" t="b">
        <v>1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s">
        <v>1182</v>
      </c>
    </row>
    <row r="34" spans="3:29" x14ac:dyDescent="0.25">
      <c r="C34" t="s">
        <v>181</v>
      </c>
      <c r="D34">
        <v>28</v>
      </c>
      <c r="E34" t="s">
        <v>39</v>
      </c>
      <c r="F34" t="s">
        <v>40</v>
      </c>
      <c r="G34" s="43">
        <v>44995</v>
      </c>
      <c r="H34" s="43">
        <v>45392</v>
      </c>
      <c r="I34" t="s">
        <v>182</v>
      </c>
      <c r="J34" t="s">
        <v>421</v>
      </c>
      <c r="L34" t="s">
        <v>183</v>
      </c>
      <c r="M34" t="s">
        <v>44</v>
      </c>
      <c r="N34" t="s">
        <v>184</v>
      </c>
      <c r="O34" t="s">
        <v>185</v>
      </c>
      <c r="P34">
        <v>609230809</v>
      </c>
      <c r="Q34" t="s">
        <v>99</v>
      </c>
      <c r="R34" t="s">
        <v>100</v>
      </c>
      <c r="T34" t="b">
        <v>0</v>
      </c>
      <c r="U34" t="s">
        <v>186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0</v>
      </c>
      <c r="AC34" t="s">
        <v>1182</v>
      </c>
    </row>
    <row r="35" spans="3:29" x14ac:dyDescent="0.25">
      <c r="C35" t="s">
        <v>444</v>
      </c>
      <c r="D35">
        <v>29</v>
      </c>
      <c r="E35" t="s">
        <v>39</v>
      </c>
      <c r="F35" t="s">
        <v>40</v>
      </c>
      <c r="G35" s="43">
        <v>45202</v>
      </c>
      <c r="H35" s="43"/>
      <c r="I35" t="s">
        <v>445</v>
      </c>
      <c r="J35" t="s">
        <v>42</v>
      </c>
      <c r="L35" t="s">
        <v>446</v>
      </c>
      <c r="M35" t="s">
        <v>44</v>
      </c>
      <c r="N35" t="s">
        <v>447</v>
      </c>
      <c r="O35" t="s">
        <v>448</v>
      </c>
      <c r="P35">
        <v>684024181</v>
      </c>
      <c r="Q35" t="s">
        <v>99</v>
      </c>
      <c r="R35" t="s">
        <v>211</v>
      </c>
      <c r="T35" t="b">
        <v>0</v>
      </c>
      <c r="V35" t="b">
        <v>1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s">
        <v>1182</v>
      </c>
    </row>
    <row r="36" spans="3:29" x14ac:dyDescent="0.25">
      <c r="C36" t="s">
        <v>187</v>
      </c>
      <c r="D36">
        <v>30</v>
      </c>
      <c r="E36" t="s">
        <v>39</v>
      </c>
      <c r="F36" t="s">
        <v>143</v>
      </c>
      <c r="G36" s="43">
        <v>44995</v>
      </c>
      <c r="H36" s="43">
        <v>45392</v>
      </c>
      <c r="I36" t="s">
        <v>188</v>
      </c>
      <c r="J36" t="s">
        <v>421</v>
      </c>
      <c r="L36" t="s">
        <v>189</v>
      </c>
      <c r="M36" t="s">
        <v>44</v>
      </c>
      <c r="N36" t="s">
        <v>190</v>
      </c>
      <c r="O36" t="s">
        <v>191</v>
      </c>
      <c r="P36">
        <v>688890723</v>
      </c>
      <c r="Q36" t="s">
        <v>99</v>
      </c>
      <c r="R36" t="s">
        <v>82</v>
      </c>
      <c r="T36" t="b">
        <v>0</v>
      </c>
      <c r="U36" t="s">
        <v>192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0</v>
      </c>
      <c r="AC36" t="s">
        <v>116</v>
      </c>
    </row>
    <row r="37" spans="3:29" x14ac:dyDescent="0.25">
      <c r="C37" t="s">
        <v>432</v>
      </c>
      <c r="D37">
        <v>31</v>
      </c>
      <c r="E37" t="s">
        <v>39</v>
      </c>
      <c r="F37" t="s">
        <v>40</v>
      </c>
      <c r="G37" s="43">
        <v>45210</v>
      </c>
      <c r="H37" s="43">
        <v>45445</v>
      </c>
      <c r="I37" t="s">
        <v>433</v>
      </c>
      <c r="J37" t="s">
        <v>407</v>
      </c>
      <c r="L37" t="s">
        <v>434</v>
      </c>
      <c r="M37" t="s">
        <v>44</v>
      </c>
      <c r="N37" t="s">
        <v>435</v>
      </c>
      <c r="O37" t="s">
        <v>436</v>
      </c>
      <c r="P37">
        <v>692591376</v>
      </c>
      <c r="Q37" t="s">
        <v>99</v>
      </c>
      <c r="R37" t="s">
        <v>323</v>
      </c>
      <c r="T37" t="b">
        <v>0</v>
      </c>
      <c r="U37" t="s">
        <v>437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0</v>
      </c>
      <c r="AB37" t="b">
        <v>0</v>
      </c>
      <c r="AC37" t="s">
        <v>40</v>
      </c>
    </row>
    <row r="38" spans="3:29" x14ac:dyDescent="0.25">
      <c r="C38" t="s">
        <v>213</v>
      </c>
      <c r="D38">
        <v>32</v>
      </c>
      <c r="E38" t="s">
        <v>39</v>
      </c>
      <c r="F38" t="s">
        <v>40</v>
      </c>
      <c r="G38" s="43">
        <v>45210</v>
      </c>
      <c r="H38" s="43">
        <v>45291</v>
      </c>
      <c r="I38" t="s">
        <v>214</v>
      </c>
      <c r="J38" t="s">
        <v>87</v>
      </c>
      <c r="L38" t="s">
        <v>215</v>
      </c>
      <c r="M38" t="s">
        <v>44</v>
      </c>
      <c r="N38" t="s">
        <v>216</v>
      </c>
      <c r="O38" t="s">
        <v>217</v>
      </c>
      <c r="P38">
        <v>688849281</v>
      </c>
      <c r="Q38" t="s">
        <v>99</v>
      </c>
      <c r="R38" t="s">
        <v>100</v>
      </c>
      <c r="T38" t="b">
        <v>0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0</v>
      </c>
      <c r="AB38" t="b">
        <v>0</v>
      </c>
      <c r="AC38" t="s">
        <v>1182</v>
      </c>
    </row>
    <row r="39" spans="3:29" x14ac:dyDescent="0.25">
      <c r="C39" t="s">
        <v>1185</v>
      </c>
      <c r="D39">
        <v>33</v>
      </c>
      <c r="E39" t="s">
        <v>39</v>
      </c>
      <c r="F39" t="s">
        <v>85</v>
      </c>
      <c r="G39" s="43">
        <v>45210</v>
      </c>
      <c r="H39" s="43">
        <v>45271</v>
      </c>
      <c r="I39" t="s">
        <v>1186</v>
      </c>
      <c r="J39" t="s">
        <v>87</v>
      </c>
      <c r="L39" t="s">
        <v>1187</v>
      </c>
      <c r="M39" t="s">
        <v>44</v>
      </c>
      <c r="N39" t="s">
        <v>1188</v>
      </c>
      <c r="O39" t="s">
        <v>1189</v>
      </c>
      <c r="P39">
        <v>655583592</v>
      </c>
      <c r="Q39" t="s">
        <v>99</v>
      </c>
      <c r="R39" t="s">
        <v>1190</v>
      </c>
      <c r="T39" t="b">
        <v>0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0</v>
      </c>
      <c r="AB39" t="b">
        <v>0</v>
      </c>
      <c r="AC39" t="s">
        <v>1182</v>
      </c>
    </row>
    <row r="40" spans="3:29" x14ac:dyDescent="0.25">
      <c r="C40" t="s">
        <v>1098</v>
      </c>
      <c r="D40">
        <v>34</v>
      </c>
      <c r="E40" t="s">
        <v>62</v>
      </c>
      <c r="F40" t="s">
        <v>85</v>
      </c>
      <c r="G40" s="43">
        <v>45210</v>
      </c>
      <c r="H40" s="43">
        <v>45328</v>
      </c>
      <c r="I40" t="s">
        <v>1099</v>
      </c>
      <c r="J40" t="s">
        <v>407</v>
      </c>
      <c r="L40" t="s">
        <v>1100</v>
      </c>
      <c r="M40" t="s">
        <v>44</v>
      </c>
      <c r="N40" t="s">
        <v>1096</v>
      </c>
      <c r="O40" t="s">
        <v>1102</v>
      </c>
      <c r="P40">
        <v>647997181</v>
      </c>
      <c r="Q40" t="s">
        <v>99</v>
      </c>
      <c r="R40" t="s">
        <v>71</v>
      </c>
      <c r="T40" t="b">
        <v>0</v>
      </c>
      <c r="U40" t="s">
        <v>1103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0</v>
      </c>
      <c r="AB40" t="b">
        <v>0</v>
      </c>
      <c r="AC40" t="s">
        <v>51</v>
      </c>
    </row>
    <row r="41" spans="3:29" x14ac:dyDescent="0.25">
      <c r="C41" t="s">
        <v>1136</v>
      </c>
      <c r="D41">
        <v>35</v>
      </c>
      <c r="E41" t="s">
        <v>62</v>
      </c>
      <c r="F41" t="s">
        <v>85</v>
      </c>
      <c r="G41" s="43">
        <v>45215</v>
      </c>
      <c r="H41" s="43">
        <v>45301</v>
      </c>
      <c r="I41" t="s">
        <v>1137</v>
      </c>
      <c r="J41" t="s">
        <v>421</v>
      </c>
      <c r="L41" t="s">
        <v>1138</v>
      </c>
      <c r="M41" t="s">
        <v>44</v>
      </c>
      <c r="N41" t="s">
        <v>1139</v>
      </c>
      <c r="O41" t="s">
        <v>1140</v>
      </c>
      <c r="P41">
        <v>646735893</v>
      </c>
      <c r="Q41" t="s">
        <v>99</v>
      </c>
      <c r="R41" t="s">
        <v>225</v>
      </c>
      <c r="T41" t="b">
        <v>0</v>
      </c>
      <c r="U41" t="s">
        <v>1141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0</v>
      </c>
      <c r="AC41" t="s">
        <v>1182</v>
      </c>
    </row>
    <row r="42" spans="3:29" x14ac:dyDescent="0.25">
      <c r="C42" t="s">
        <v>233</v>
      </c>
      <c r="D42">
        <v>36</v>
      </c>
      <c r="E42" t="s">
        <v>39</v>
      </c>
      <c r="F42" t="s">
        <v>85</v>
      </c>
      <c r="G42" s="43">
        <v>45215</v>
      </c>
      <c r="H42" s="43">
        <v>45258</v>
      </c>
      <c r="I42" t="s">
        <v>234</v>
      </c>
      <c r="J42" t="s">
        <v>483</v>
      </c>
      <c r="L42" t="s">
        <v>235</v>
      </c>
      <c r="M42" t="s">
        <v>44</v>
      </c>
      <c r="N42" t="s">
        <v>236</v>
      </c>
      <c r="O42" t="s">
        <v>237</v>
      </c>
      <c r="P42">
        <v>628012584</v>
      </c>
      <c r="Q42" t="s">
        <v>99</v>
      </c>
      <c r="R42" t="s">
        <v>82</v>
      </c>
      <c r="T42" t="b">
        <v>0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0</v>
      </c>
      <c r="AB42" t="b">
        <v>0</v>
      </c>
      <c r="AC42" t="s">
        <v>1182</v>
      </c>
    </row>
    <row r="43" spans="3:29" x14ac:dyDescent="0.25">
      <c r="C43" t="s">
        <v>1085</v>
      </c>
      <c r="D43">
        <v>37</v>
      </c>
      <c r="E43" t="s">
        <v>39</v>
      </c>
      <c r="F43" t="s">
        <v>85</v>
      </c>
      <c r="G43" s="43">
        <v>45215</v>
      </c>
      <c r="H43" s="43">
        <v>45265</v>
      </c>
      <c r="I43" t="s">
        <v>1086</v>
      </c>
      <c r="J43" t="s">
        <v>483</v>
      </c>
      <c r="L43" t="s">
        <v>1087</v>
      </c>
      <c r="M43" t="s">
        <v>44</v>
      </c>
      <c r="N43" t="s">
        <v>1088</v>
      </c>
      <c r="O43" t="s">
        <v>1089</v>
      </c>
      <c r="P43">
        <v>664517362</v>
      </c>
      <c r="Q43" t="s">
        <v>99</v>
      </c>
      <c r="R43" t="s">
        <v>100</v>
      </c>
      <c r="T43" t="b">
        <v>0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0</v>
      </c>
      <c r="AC43" t="s">
        <v>1182</v>
      </c>
    </row>
    <row r="44" spans="3:29" x14ac:dyDescent="0.25">
      <c r="C44" t="s">
        <v>1124</v>
      </c>
      <c r="D44">
        <v>38</v>
      </c>
      <c r="E44" t="s">
        <v>39</v>
      </c>
      <c r="F44" t="s">
        <v>85</v>
      </c>
      <c r="G44" s="43">
        <v>45215</v>
      </c>
      <c r="H44" s="43">
        <v>45445</v>
      </c>
      <c r="I44" t="s">
        <v>1125</v>
      </c>
      <c r="J44" t="s">
        <v>483</v>
      </c>
      <c r="M44" t="s">
        <v>44</v>
      </c>
      <c r="N44" t="s">
        <v>1126</v>
      </c>
      <c r="O44" t="s">
        <v>1127</v>
      </c>
      <c r="P44">
        <v>628539285</v>
      </c>
      <c r="Q44" t="s">
        <v>69</v>
      </c>
      <c r="R44" t="s">
        <v>81</v>
      </c>
      <c r="S44" t="s">
        <v>82</v>
      </c>
      <c r="T44" t="b">
        <v>0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0</v>
      </c>
      <c r="AC44" t="s">
        <v>1182</v>
      </c>
    </row>
    <row r="45" spans="3:29" x14ac:dyDescent="0.25">
      <c r="C45" t="s">
        <v>227</v>
      </c>
      <c r="D45">
        <v>39</v>
      </c>
      <c r="E45" t="s">
        <v>62</v>
      </c>
      <c r="F45" t="s">
        <v>40</v>
      </c>
      <c r="G45" s="43">
        <v>45215</v>
      </c>
      <c r="H45" s="43">
        <v>45291</v>
      </c>
      <c r="I45" t="s">
        <v>228</v>
      </c>
      <c r="J45" t="s">
        <v>483</v>
      </c>
      <c r="L45" t="s">
        <v>229</v>
      </c>
      <c r="M45" t="s">
        <v>44</v>
      </c>
      <c r="N45" t="s">
        <v>230</v>
      </c>
      <c r="O45" t="s">
        <v>231</v>
      </c>
      <c r="P45">
        <v>655576964</v>
      </c>
      <c r="Q45" t="s">
        <v>99</v>
      </c>
      <c r="R45" t="s">
        <v>100</v>
      </c>
      <c r="T45" t="b">
        <v>0</v>
      </c>
      <c r="U45" t="s">
        <v>232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0</v>
      </c>
      <c r="AC45" t="s">
        <v>1182</v>
      </c>
    </row>
    <row r="46" spans="3:29" x14ac:dyDescent="0.25">
      <c r="C46" t="s">
        <v>219</v>
      </c>
      <c r="D46">
        <v>40</v>
      </c>
      <c r="E46" t="s">
        <v>62</v>
      </c>
      <c r="F46" t="s">
        <v>40</v>
      </c>
      <c r="G46" s="43">
        <v>45215</v>
      </c>
      <c r="H46" s="43">
        <v>45257</v>
      </c>
      <c r="I46" t="s">
        <v>220</v>
      </c>
      <c r="J46" t="s">
        <v>42</v>
      </c>
      <c r="L46" t="s">
        <v>221</v>
      </c>
      <c r="M46" t="s">
        <v>44</v>
      </c>
      <c r="N46" t="s">
        <v>222</v>
      </c>
      <c r="O46" t="s">
        <v>223</v>
      </c>
      <c r="P46">
        <v>688639447</v>
      </c>
      <c r="Q46" t="s">
        <v>99</v>
      </c>
      <c r="R46" t="s">
        <v>225</v>
      </c>
      <c r="T46" t="b">
        <v>0</v>
      </c>
      <c r="V46" t="b">
        <v>1</v>
      </c>
      <c r="W46" t="b">
        <v>1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s">
        <v>1182</v>
      </c>
    </row>
    <row r="47" spans="3:29" x14ac:dyDescent="0.25">
      <c r="C47" t="s">
        <v>239</v>
      </c>
      <c r="D47">
        <v>41</v>
      </c>
      <c r="E47" t="s">
        <v>62</v>
      </c>
      <c r="F47" t="s">
        <v>85</v>
      </c>
      <c r="G47" s="43">
        <v>45215</v>
      </c>
      <c r="H47" s="43">
        <v>45301</v>
      </c>
      <c r="I47" t="s">
        <v>240</v>
      </c>
      <c r="J47" t="s">
        <v>421</v>
      </c>
      <c r="L47" t="s">
        <v>241</v>
      </c>
      <c r="M47" t="s">
        <v>44</v>
      </c>
      <c r="N47" t="s">
        <v>242</v>
      </c>
      <c r="O47" t="s">
        <v>243</v>
      </c>
      <c r="P47">
        <v>634271868</v>
      </c>
      <c r="Q47" t="s">
        <v>99</v>
      </c>
      <c r="R47" t="s">
        <v>225</v>
      </c>
      <c r="T47" t="b">
        <v>1</v>
      </c>
      <c r="U47" t="s">
        <v>244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0</v>
      </c>
      <c r="AC47" t="s">
        <v>1182</v>
      </c>
    </row>
    <row r="48" spans="3:29" x14ac:dyDescent="0.25">
      <c r="C48" t="s">
        <v>245</v>
      </c>
      <c r="D48">
        <v>42</v>
      </c>
      <c r="E48" t="s">
        <v>62</v>
      </c>
      <c r="F48" t="s">
        <v>40</v>
      </c>
      <c r="G48" s="43">
        <v>45215</v>
      </c>
      <c r="H48" s="43">
        <v>45301</v>
      </c>
      <c r="I48" t="s">
        <v>246</v>
      </c>
      <c r="J48" t="s">
        <v>421</v>
      </c>
      <c r="L48" t="s">
        <v>247</v>
      </c>
      <c r="M48" t="s">
        <v>44</v>
      </c>
      <c r="N48" t="s">
        <v>248</v>
      </c>
      <c r="O48" t="s">
        <v>249</v>
      </c>
      <c r="P48">
        <v>692934230</v>
      </c>
      <c r="Q48" t="s">
        <v>99</v>
      </c>
      <c r="R48" t="s">
        <v>100</v>
      </c>
      <c r="T48" t="b">
        <v>0</v>
      </c>
      <c r="U48" t="s">
        <v>250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0</v>
      </c>
      <c r="AC48" t="s">
        <v>1182</v>
      </c>
    </row>
    <row r="49" spans="3:29" x14ac:dyDescent="0.25">
      <c r="C49" t="s">
        <v>1094</v>
      </c>
      <c r="D49">
        <v>43</v>
      </c>
      <c r="E49" t="s">
        <v>39</v>
      </c>
      <c r="F49" t="s">
        <v>40</v>
      </c>
      <c r="G49" s="43">
        <v>45218</v>
      </c>
      <c r="H49" s="43">
        <v>45310</v>
      </c>
      <c r="I49" t="s">
        <v>1002</v>
      </c>
      <c r="J49" t="s">
        <v>151</v>
      </c>
      <c r="L49" t="s">
        <v>1095</v>
      </c>
      <c r="M49" t="s">
        <v>44</v>
      </c>
      <c r="N49" t="s">
        <v>253</v>
      </c>
      <c r="O49" t="s">
        <v>1097</v>
      </c>
      <c r="P49">
        <v>688851580</v>
      </c>
      <c r="Q49" t="s">
        <v>99</v>
      </c>
      <c r="R49" t="s">
        <v>211</v>
      </c>
      <c r="T49" t="b">
        <v>0</v>
      </c>
      <c r="V49" t="b">
        <v>1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s">
        <v>1182</v>
      </c>
    </row>
    <row r="50" spans="3:29" x14ac:dyDescent="0.25">
      <c r="C50" t="s">
        <v>1090</v>
      </c>
      <c r="D50">
        <v>44</v>
      </c>
      <c r="E50" t="s">
        <v>39</v>
      </c>
      <c r="F50" t="s">
        <v>40</v>
      </c>
      <c r="G50" s="43">
        <v>45218</v>
      </c>
      <c r="H50" s="43">
        <v>45329</v>
      </c>
      <c r="I50" t="s">
        <v>1091</v>
      </c>
      <c r="J50" t="s">
        <v>151</v>
      </c>
      <c r="L50" t="s">
        <v>1092</v>
      </c>
      <c r="M50" t="s">
        <v>44</v>
      </c>
      <c r="P50">
        <v>688683093</v>
      </c>
      <c r="Q50" t="s">
        <v>99</v>
      </c>
      <c r="R50" t="s">
        <v>1044</v>
      </c>
      <c r="T50" t="b">
        <v>0</v>
      </c>
      <c r="V50" t="b">
        <v>1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s">
        <v>1182</v>
      </c>
    </row>
    <row r="51" spans="3:29" x14ac:dyDescent="0.25">
      <c r="C51" t="s">
        <v>251</v>
      </c>
      <c r="D51">
        <v>45</v>
      </c>
      <c r="E51" t="s">
        <v>62</v>
      </c>
      <c r="F51" t="s">
        <v>40</v>
      </c>
      <c r="G51" s="43">
        <v>45223</v>
      </c>
      <c r="H51" s="43">
        <v>45322</v>
      </c>
      <c r="I51" t="s">
        <v>252</v>
      </c>
      <c r="J51" t="s">
        <v>151</v>
      </c>
      <c r="M51" t="s">
        <v>44</v>
      </c>
      <c r="N51" t="s">
        <v>253</v>
      </c>
      <c r="Q51" t="s">
        <v>99</v>
      </c>
      <c r="T51" t="b">
        <v>0</v>
      </c>
      <c r="V51" t="b">
        <v>1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s">
        <v>1182</v>
      </c>
    </row>
    <row r="52" spans="3:29" x14ac:dyDescent="0.25">
      <c r="C52" t="s">
        <v>1191</v>
      </c>
      <c r="D52">
        <v>46</v>
      </c>
      <c r="E52" t="s">
        <v>39</v>
      </c>
      <c r="F52" t="s">
        <v>40</v>
      </c>
      <c r="G52" s="43">
        <v>45345</v>
      </c>
      <c r="H52" s="43">
        <v>45366</v>
      </c>
      <c r="I52" t="s">
        <v>1109</v>
      </c>
      <c r="J52" t="s">
        <v>87</v>
      </c>
      <c r="L52" t="s">
        <v>1110</v>
      </c>
      <c r="M52" t="s">
        <v>44</v>
      </c>
      <c r="N52" t="s">
        <v>1111</v>
      </c>
      <c r="O52" t="s">
        <v>1112</v>
      </c>
      <c r="P52">
        <v>660435252</v>
      </c>
      <c r="Q52" t="s">
        <v>99</v>
      </c>
      <c r="R52" t="s">
        <v>354</v>
      </c>
      <c r="T52" t="b">
        <v>0</v>
      </c>
      <c r="V52" t="b">
        <v>1</v>
      </c>
      <c r="W52" t="b">
        <v>1</v>
      </c>
      <c r="X52" t="b">
        <v>0</v>
      </c>
      <c r="Y52" t="b">
        <v>1</v>
      </c>
      <c r="Z52" t="b">
        <v>1</v>
      </c>
      <c r="AA52" t="b">
        <v>0</v>
      </c>
      <c r="AB52" t="b">
        <v>0</v>
      </c>
      <c r="AC52" t="s">
        <v>1182</v>
      </c>
    </row>
    <row r="53" spans="3:29" x14ac:dyDescent="0.25">
      <c r="C53" t="s">
        <v>1080</v>
      </c>
      <c r="D53">
        <v>47</v>
      </c>
      <c r="E53" t="s">
        <v>39</v>
      </c>
      <c r="F53" t="s">
        <v>85</v>
      </c>
      <c r="G53" s="43">
        <v>45394</v>
      </c>
      <c r="H53" s="43">
        <v>45492</v>
      </c>
      <c r="I53" t="s">
        <v>1081</v>
      </c>
      <c r="J53" t="s">
        <v>42</v>
      </c>
      <c r="L53" t="s">
        <v>1082</v>
      </c>
      <c r="M53" t="s">
        <v>44</v>
      </c>
      <c r="N53" t="s">
        <v>1083</v>
      </c>
      <c r="P53">
        <v>616844203</v>
      </c>
      <c r="Q53" t="s">
        <v>99</v>
      </c>
      <c r="T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s">
        <v>262</v>
      </c>
    </row>
    <row r="54" spans="3:29" x14ac:dyDescent="0.25">
      <c r="C54" t="s">
        <v>256</v>
      </c>
      <c r="D54">
        <v>48</v>
      </c>
      <c r="E54" t="s">
        <v>39</v>
      </c>
      <c r="F54" t="s">
        <v>85</v>
      </c>
      <c r="G54" s="43">
        <v>45394</v>
      </c>
      <c r="H54" s="43">
        <v>45490</v>
      </c>
      <c r="I54">
        <v>118473446</v>
      </c>
      <c r="J54" t="s">
        <v>42</v>
      </c>
      <c r="M54" t="s">
        <v>44</v>
      </c>
      <c r="N54" t="s">
        <v>258</v>
      </c>
      <c r="P54">
        <v>632160879</v>
      </c>
      <c r="Q54" t="s">
        <v>99</v>
      </c>
      <c r="T54" t="b">
        <v>0</v>
      </c>
      <c r="V54" t="b">
        <v>1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s">
        <v>262</v>
      </c>
    </row>
    <row r="55" spans="3:29" x14ac:dyDescent="0.25">
      <c r="C55" t="s">
        <v>263</v>
      </c>
      <c r="D55">
        <v>49</v>
      </c>
      <c r="E55" t="s">
        <v>39</v>
      </c>
      <c r="F55" t="s">
        <v>85</v>
      </c>
      <c r="G55" s="43">
        <v>45399</v>
      </c>
      <c r="H55" s="43">
        <v>45582</v>
      </c>
      <c r="I55" t="s">
        <v>264</v>
      </c>
      <c r="J55" t="s">
        <v>42</v>
      </c>
      <c r="N55" t="s">
        <v>266</v>
      </c>
      <c r="O55" t="s">
        <v>267</v>
      </c>
      <c r="P55">
        <v>671303317</v>
      </c>
      <c r="Q55" t="s">
        <v>99</v>
      </c>
      <c r="V55" t="b">
        <v>1</v>
      </c>
      <c r="W55" t="b">
        <v>1</v>
      </c>
      <c r="AC55" t="s">
        <v>262</v>
      </c>
    </row>
    <row r="56" spans="3:29" x14ac:dyDescent="0.25">
      <c r="C56" t="s">
        <v>269</v>
      </c>
      <c r="D56">
        <v>50</v>
      </c>
      <c r="E56" t="s">
        <v>39</v>
      </c>
      <c r="F56" t="s">
        <v>85</v>
      </c>
      <c r="G56" s="43">
        <v>45475</v>
      </c>
      <c r="H56" s="43">
        <v>45545</v>
      </c>
      <c r="I56" t="s">
        <v>270</v>
      </c>
      <c r="J56" t="s">
        <v>87</v>
      </c>
      <c r="L56" t="s">
        <v>271</v>
      </c>
      <c r="M56" t="s">
        <v>44</v>
      </c>
      <c r="N56" t="s">
        <v>272</v>
      </c>
      <c r="O56" t="s">
        <v>273</v>
      </c>
      <c r="P56">
        <v>618539541</v>
      </c>
      <c r="Q56" t="s">
        <v>99</v>
      </c>
      <c r="R56" t="s">
        <v>82</v>
      </c>
      <c r="T56" t="b">
        <v>0</v>
      </c>
      <c r="V56" t="b">
        <v>1</v>
      </c>
      <c r="W56" t="b">
        <v>1</v>
      </c>
      <c r="X56" t="b">
        <v>1</v>
      </c>
      <c r="Y56" t="b">
        <v>1</v>
      </c>
      <c r="Z56" t="b">
        <v>0</v>
      </c>
      <c r="AA56" t="b">
        <v>0</v>
      </c>
      <c r="AB56" t="b">
        <v>0</v>
      </c>
      <c r="AC56" t="s">
        <v>1182</v>
      </c>
    </row>
    <row r="57" spans="3:29" x14ac:dyDescent="0.25">
      <c r="C57" t="s">
        <v>275</v>
      </c>
      <c r="D57">
        <v>51</v>
      </c>
      <c r="E57" t="s">
        <v>39</v>
      </c>
      <c r="F57" t="s">
        <v>85</v>
      </c>
      <c r="G57" s="43">
        <v>45475</v>
      </c>
      <c r="H57" s="43">
        <v>45545</v>
      </c>
      <c r="I57" t="s">
        <v>276</v>
      </c>
      <c r="J57" t="s">
        <v>87</v>
      </c>
      <c r="L57" t="s">
        <v>277</v>
      </c>
      <c r="M57" t="s">
        <v>44</v>
      </c>
      <c r="N57" t="s">
        <v>278</v>
      </c>
      <c r="O57" t="s">
        <v>279</v>
      </c>
      <c r="P57">
        <v>634823511</v>
      </c>
      <c r="Q57" t="s">
        <v>99</v>
      </c>
      <c r="R57" t="s">
        <v>280</v>
      </c>
      <c r="T57" t="b">
        <v>0</v>
      </c>
      <c r="V57" t="b">
        <v>1</v>
      </c>
      <c r="W57" t="b">
        <v>1</v>
      </c>
      <c r="X57" t="b">
        <v>1</v>
      </c>
      <c r="Y57" t="b">
        <v>1</v>
      </c>
      <c r="Z57" t="b">
        <v>0</v>
      </c>
      <c r="AA57" t="b">
        <v>0</v>
      </c>
      <c r="AB57" t="b">
        <v>0</v>
      </c>
      <c r="AC57" t="s">
        <v>1182</v>
      </c>
    </row>
    <row r="58" spans="3:29" x14ac:dyDescent="0.25">
      <c r="C58" t="s">
        <v>1128</v>
      </c>
      <c r="D58">
        <v>52</v>
      </c>
      <c r="E58" t="s">
        <v>62</v>
      </c>
      <c r="F58" t="s">
        <v>85</v>
      </c>
      <c r="G58" s="43">
        <v>45596</v>
      </c>
      <c r="H58" s="43">
        <v>45629</v>
      </c>
      <c r="I58" t="s">
        <v>1129</v>
      </c>
      <c r="J58" t="s">
        <v>483</v>
      </c>
      <c r="M58" t="s">
        <v>44</v>
      </c>
      <c r="N58" t="s">
        <v>1130</v>
      </c>
      <c r="O58" t="s">
        <v>1131</v>
      </c>
      <c r="P58">
        <v>620325417</v>
      </c>
      <c r="Q58" t="s">
        <v>69</v>
      </c>
      <c r="S58" t="s">
        <v>806</v>
      </c>
      <c r="T58" t="b">
        <v>0</v>
      </c>
      <c r="V58" t="b">
        <v>1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s">
        <v>262</v>
      </c>
    </row>
    <row r="59" spans="3:29" x14ac:dyDescent="0.25">
      <c r="C59" t="s">
        <v>1132</v>
      </c>
      <c r="D59">
        <v>53</v>
      </c>
      <c r="E59" t="s">
        <v>62</v>
      </c>
      <c r="F59" t="s">
        <v>85</v>
      </c>
      <c r="G59" s="43">
        <v>45596</v>
      </c>
      <c r="H59" s="43">
        <v>45629</v>
      </c>
      <c r="I59" t="s">
        <v>1133</v>
      </c>
      <c r="J59" t="s">
        <v>483</v>
      </c>
      <c r="M59" t="s">
        <v>44</v>
      </c>
      <c r="N59" t="s">
        <v>1134</v>
      </c>
      <c r="O59" t="s">
        <v>1135</v>
      </c>
      <c r="P59">
        <v>622050014</v>
      </c>
      <c r="Q59" t="s">
        <v>99</v>
      </c>
      <c r="R59" t="s">
        <v>82</v>
      </c>
      <c r="T59" t="b">
        <v>0</v>
      </c>
      <c r="V59" t="b">
        <v>1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s">
        <v>262</v>
      </c>
    </row>
    <row r="60" spans="3:29" x14ac:dyDescent="0.25">
      <c r="C60" t="s">
        <v>282</v>
      </c>
      <c r="D60">
        <v>54</v>
      </c>
      <c r="E60" t="s">
        <v>39</v>
      </c>
      <c r="F60" t="s">
        <v>85</v>
      </c>
      <c r="G60" s="43">
        <v>45596</v>
      </c>
      <c r="H60" s="43">
        <v>45631</v>
      </c>
      <c r="I60" t="s">
        <v>283</v>
      </c>
      <c r="J60" t="s">
        <v>407</v>
      </c>
      <c r="L60" t="s">
        <v>284</v>
      </c>
      <c r="M60" t="s">
        <v>44</v>
      </c>
      <c r="N60" t="s">
        <v>285</v>
      </c>
      <c r="O60" t="s">
        <v>286</v>
      </c>
      <c r="P60">
        <v>644307237</v>
      </c>
      <c r="Q60" t="s">
        <v>99</v>
      </c>
      <c r="R60" t="s">
        <v>211</v>
      </c>
      <c r="T60" t="b">
        <v>0</v>
      </c>
      <c r="V60" t="b">
        <v>1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s">
        <v>51</v>
      </c>
    </row>
    <row r="61" spans="3:29" x14ac:dyDescent="0.25">
      <c r="C61" t="s">
        <v>288</v>
      </c>
      <c r="D61">
        <v>55</v>
      </c>
      <c r="E61" t="s">
        <v>39</v>
      </c>
      <c r="F61" t="s">
        <v>85</v>
      </c>
      <c r="G61" s="43">
        <v>45596</v>
      </c>
      <c r="H61" s="43">
        <v>45631</v>
      </c>
      <c r="I61" t="s">
        <v>289</v>
      </c>
      <c r="J61" t="s">
        <v>407</v>
      </c>
      <c r="L61" t="s">
        <v>290</v>
      </c>
      <c r="M61" t="s">
        <v>44</v>
      </c>
      <c r="N61" t="s">
        <v>291</v>
      </c>
      <c r="O61" t="s">
        <v>292</v>
      </c>
      <c r="P61">
        <v>644731243</v>
      </c>
      <c r="Q61" t="s">
        <v>99</v>
      </c>
      <c r="R61" t="s">
        <v>260</v>
      </c>
      <c r="T61" t="b">
        <v>0</v>
      </c>
      <c r="V61" t="b">
        <v>1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s">
        <v>51</v>
      </c>
    </row>
    <row r="62" spans="3:29" x14ac:dyDescent="0.25">
      <c r="C62" t="s">
        <v>294</v>
      </c>
      <c r="D62">
        <v>56</v>
      </c>
      <c r="E62" t="s">
        <v>39</v>
      </c>
      <c r="F62" t="s">
        <v>85</v>
      </c>
      <c r="G62" s="43">
        <v>45596</v>
      </c>
      <c r="H62" s="43">
        <v>45631</v>
      </c>
      <c r="I62" t="s">
        <v>295</v>
      </c>
      <c r="J62" t="s">
        <v>407</v>
      </c>
      <c r="L62" t="s">
        <v>296</v>
      </c>
      <c r="M62" t="s">
        <v>44</v>
      </c>
      <c r="N62" t="s">
        <v>297</v>
      </c>
      <c r="O62" t="s">
        <v>298</v>
      </c>
      <c r="P62">
        <v>634435114</v>
      </c>
      <c r="Q62" t="s">
        <v>99</v>
      </c>
      <c r="R62" t="s">
        <v>82</v>
      </c>
      <c r="T62" t="b">
        <v>0</v>
      </c>
      <c r="V62" t="b">
        <v>1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s">
        <v>51</v>
      </c>
    </row>
    <row r="63" spans="3:29" x14ac:dyDescent="0.25">
      <c r="C63" t="s">
        <v>300</v>
      </c>
      <c r="D63">
        <v>57</v>
      </c>
      <c r="E63" t="s">
        <v>39</v>
      </c>
      <c r="F63" t="s">
        <v>85</v>
      </c>
      <c r="G63" s="43">
        <v>45596</v>
      </c>
      <c r="H63" s="43">
        <v>45631</v>
      </c>
      <c r="I63" t="s">
        <v>301</v>
      </c>
      <c r="J63" t="s">
        <v>42</v>
      </c>
      <c r="L63" t="s">
        <v>302</v>
      </c>
      <c r="M63" t="s">
        <v>44</v>
      </c>
      <c r="N63" t="s">
        <v>303</v>
      </c>
      <c r="P63">
        <v>634448354</v>
      </c>
      <c r="Q63" t="s">
        <v>99</v>
      </c>
      <c r="V63" t="b">
        <v>1</v>
      </c>
      <c r="W63" t="b">
        <v>1</v>
      </c>
      <c r="AC63" t="s">
        <v>262</v>
      </c>
    </row>
    <row r="64" spans="3:29" x14ac:dyDescent="0.25">
      <c r="C64" t="s">
        <v>1192</v>
      </c>
      <c r="D64">
        <v>58</v>
      </c>
      <c r="E64" t="s">
        <v>39</v>
      </c>
      <c r="F64" t="s">
        <v>85</v>
      </c>
      <c r="G64" s="43">
        <v>45596</v>
      </c>
      <c r="H64" s="43">
        <v>45632</v>
      </c>
      <c r="I64" t="s">
        <v>344</v>
      </c>
      <c r="J64" t="s">
        <v>87</v>
      </c>
      <c r="L64" t="s">
        <v>345</v>
      </c>
      <c r="M64" t="s">
        <v>44</v>
      </c>
      <c r="N64" t="s">
        <v>346</v>
      </c>
      <c r="O64" t="s">
        <v>347</v>
      </c>
      <c r="P64">
        <v>626731403</v>
      </c>
      <c r="Q64" t="s">
        <v>99</v>
      </c>
      <c r="T64" t="b">
        <v>0</v>
      </c>
      <c r="V64" t="b">
        <v>1</v>
      </c>
      <c r="W64" t="b">
        <v>1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s">
        <v>262</v>
      </c>
    </row>
    <row r="65" spans="3:29" x14ac:dyDescent="0.25">
      <c r="C65" t="s">
        <v>306</v>
      </c>
      <c r="D65">
        <v>59</v>
      </c>
      <c r="E65" t="s">
        <v>39</v>
      </c>
      <c r="F65" t="s">
        <v>85</v>
      </c>
      <c r="G65" s="43">
        <v>45596</v>
      </c>
      <c r="H65" s="43">
        <v>45631</v>
      </c>
      <c r="I65" t="s">
        <v>307</v>
      </c>
      <c r="J65" t="s">
        <v>42</v>
      </c>
      <c r="L65" t="s">
        <v>308</v>
      </c>
      <c r="M65" t="s">
        <v>44</v>
      </c>
      <c r="N65" t="s">
        <v>309</v>
      </c>
      <c r="P65">
        <v>644836422</v>
      </c>
      <c r="Q65" t="s">
        <v>99</v>
      </c>
      <c r="R65" t="s">
        <v>1193</v>
      </c>
      <c r="V65" t="b">
        <v>1</v>
      </c>
      <c r="W65" t="b">
        <v>1</v>
      </c>
      <c r="AC65" t="s">
        <v>262</v>
      </c>
    </row>
    <row r="66" spans="3:29" x14ac:dyDescent="0.25">
      <c r="C66" t="s">
        <v>1113</v>
      </c>
      <c r="D66">
        <v>60</v>
      </c>
      <c r="E66" t="s">
        <v>39</v>
      </c>
      <c r="F66" t="s">
        <v>85</v>
      </c>
      <c r="G66" s="43">
        <v>45596</v>
      </c>
      <c r="H66" s="43">
        <v>45632</v>
      </c>
      <c r="I66" t="s">
        <v>1114</v>
      </c>
      <c r="J66" t="s">
        <v>87</v>
      </c>
      <c r="L66" t="s">
        <v>1115</v>
      </c>
      <c r="M66" t="s">
        <v>44</v>
      </c>
      <c r="N66" t="s">
        <v>1116</v>
      </c>
      <c r="O66" t="s">
        <v>1117</v>
      </c>
      <c r="P66">
        <v>697946564</v>
      </c>
      <c r="Q66" t="s">
        <v>99</v>
      </c>
      <c r="R66" t="s">
        <v>100</v>
      </c>
      <c r="T66" t="b">
        <v>0</v>
      </c>
      <c r="V66" t="b">
        <v>1</v>
      </c>
      <c r="W66" t="b">
        <v>1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s">
        <v>262</v>
      </c>
    </row>
    <row r="67" spans="3:29" x14ac:dyDescent="0.25">
      <c r="C67" t="s">
        <v>312</v>
      </c>
      <c r="D67">
        <v>61</v>
      </c>
      <c r="E67" t="s">
        <v>62</v>
      </c>
      <c r="F67" t="s">
        <v>85</v>
      </c>
      <c r="G67" s="43">
        <v>45596</v>
      </c>
      <c r="H67" s="43">
        <v>45631</v>
      </c>
      <c r="I67" t="s">
        <v>313</v>
      </c>
      <c r="J67" t="s">
        <v>421</v>
      </c>
      <c r="L67" t="s">
        <v>314</v>
      </c>
      <c r="M67" t="s">
        <v>44</v>
      </c>
      <c r="N67" t="s">
        <v>315</v>
      </c>
      <c r="O67" t="s">
        <v>316</v>
      </c>
      <c r="P67">
        <v>635765819</v>
      </c>
      <c r="Q67" t="s">
        <v>99</v>
      </c>
      <c r="R67" t="s">
        <v>225</v>
      </c>
      <c r="T67" t="b">
        <v>0</v>
      </c>
      <c r="V67" t="b">
        <v>1</v>
      </c>
      <c r="W67" t="b">
        <v>1</v>
      </c>
      <c r="X67" t="b">
        <v>1</v>
      </c>
      <c r="Y67" t="b">
        <v>1</v>
      </c>
      <c r="Z67" t="b">
        <v>0</v>
      </c>
      <c r="AA67" t="b">
        <v>0</v>
      </c>
      <c r="AB67" t="b">
        <v>0</v>
      </c>
      <c r="AC67" t="s">
        <v>262</v>
      </c>
    </row>
    <row r="68" spans="3:29" x14ac:dyDescent="0.25">
      <c r="C68" t="s">
        <v>469</v>
      </c>
      <c r="D68">
        <v>62</v>
      </c>
      <c r="E68" t="s">
        <v>62</v>
      </c>
      <c r="F68" t="s">
        <v>85</v>
      </c>
      <c r="G68" s="43">
        <v>45596</v>
      </c>
      <c r="H68" s="43">
        <v>45631</v>
      </c>
      <c r="I68" t="s">
        <v>470</v>
      </c>
      <c r="J68" t="s">
        <v>407</v>
      </c>
      <c r="L68" t="s">
        <v>471</v>
      </c>
      <c r="M68" t="s">
        <v>44</v>
      </c>
      <c r="N68" t="s">
        <v>472</v>
      </c>
      <c r="O68" t="s">
        <v>473</v>
      </c>
      <c r="P68">
        <v>608561983</v>
      </c>
      <c r="Q68" t="s">
        <v>69</v>
      </c>
      <c r="R68" t="s">
        <v>425</v>
      </c>
      <c r="S68" t="s">
        <v>474</v>
      </c>
      <c r="T68" t="b">
        <v>0</v>
      </c>
      <c r="V68" t="b">
        <v>1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s">
        <v>51</v>
      </c>
    </row>
    <row r="69" spans="3:29" x14ac:dyDescent="0.25">
      <c r="C69" t="s">
        <v>1194</v>
      </c>
      <c r="D69">
        <v>63</v>
      </c>
      <c r="E69" t="s">
        <v>39</v>
      </c>
      <c r="F69" t="s">
        <v>85</v>
      </c>
      <c r="G69" s="43">
        <v>45596</v>
      </c>
      <c r="H69" s="43">
        <v>45631</v>
      </c>
      <c r="I69" t="s">
        <v>319</v>
      </c>
      <c r="J69" t="s">
        <v>421</v>
      </c>
      <c r="L69" t="s">
        <v>320</v>
      </c>
      <c r="M69" t="s">
        <v>44</v>
      </c>
      <c r="N69" t="s">
        <v>321</v>
      </c>
      <c r="O69" t="s">
        <v>322</v>
      </c>
      <c r="P69">
        <v>688889016</v>
      </c>
      <c r="Q69" t="s">
        <v>99</v>
      </c>
      <c r="R69" t="s">
        <v>323</v>
      </c>
      <c r="T69" t="b">
        <v>0</v>
      </c>
      <c r="V69" t="b">
        <v>1</v>
      </c>
      <c r="W69" t="b">
        <v>1</v>
      </c>
      <c r="X69" t="b">
        <v>1</v>
      </c>
      <c r="Y69" t="b">
        <v>1</v>
      </c>
      <c r="Z69" t="b">
        <v>0</v>
      </c>
      <c r="AA69" t="b">
        <v>0</v>
      </c>
      <c r="AB69" t="b">
        <v>0</v>
      </c>
      <c r="AC69" t="s">
        <v>262</v>
      </c>
    </row>
    <row r="70" spans="3:29" x14ac:dyDescent="0.25">
      <c r="C70" t="s">
        <v>325</v>
      </c>
      <c r="D70">
        <v>64</v>
      </c>
      <c r="E70" t="s">
        <v>62</v>
      </c>
      <c r="F70" t="s">
        <v>85</v>
      </c>
      <c r="G70" s="43">
        <v>45596</v>
      </c>
      <c r="H70" s="43">
        <v>45631</v>
      </c>
      <c r="I70" t="s">
        <v>326</v>
      </c>
      <c r="J70" t="s">
        <v>407</v>
      </c>
      <c r="K70" t="s">
        <v>483</v>
      </c>
      <c r="M70" t="s">
        <v>44</v>
      </c>
      <c r="N70" t="s">
        <v>327</v>
      </c>
      <c r="O70" t="s">
        <v>328</v>
      </c>
      <c r="P70">
        <v>617868066</v>
      </c>
      <c r="Q70" t="s">
        <v>69</v>
      </c>
      <c r="R70" t="s">
        <v>329</v>
      </c>
      <c r="S70" t="s">
        <v>100</v>
      </c>
      <c r="T70" t="b">
        <v>0</v>
      </c>
      <c r="V70" t="b">
        <v>1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s">
        <v>51</v>
      </c>
    </row>
    <row r="71" spans="3:29" x14ac:dyDescent="0.25">
      <c r="C71" t="s">
        <v>349</v>
      </c>
      <c r="D71">
        <v>65</v>
      </c>
      <c r="E71" t="s">
        <v>39</v>
      </c>
      <c r="F71" t="s">
        <v>85</v>
      </c>
      <c r="G71" s="43">
        <v>45596</v>
      </c>
      <c r="H71" s="43">
        <v>45632</v>
      </c>
      <c r="I71" t="s">
        <v>350</v>
      </c>
      <c r="J71" t="s">
        <v>87</v>
      </c>
      <c r="L71" t="s">
        <v>351</v>
      </c>
      <c r="M71" t="s">
        <v>44</v>
      </c>
      <c r="N71" t="s">
        <v>352</v>
      </c>
      <c r="O71" t="s">
        <v>353</v>
      </c>
      <c r="P71">
        <v>603601213</v>
      </c>
      <c r="Q71" t="s">
        <v>99</v>
      </c>
      <c r="R71" t="s">
        <v>354</v>
      </c>
      <c r="T71" t="b">
        <v>0</v>
      </c>
      <c r="V71" t="b">
        <v>1</v>
      </c>
      <c r="W71" t="b">
        <v>1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s">
        <v>262</v>
      </c>
    </row>
    <row r="72" spans="3:29" x14ac:dyDescent="0.25">
      <c r="C72" t="s">
        <v>356</v>
      </c>
      <c r="D72">
        <v>66</v>
      </c>
      <c r="E72" t="s">
        <v>39</v>
      </c>
      <c r="F72" t="s">
        <v>85</v>
      </c>
      <c r="G72" s="43">
        <v>45596</v>
      </c>
      <c r="H72" s="43">
        <v>45632</v>
      </c>
      <c r="I72" t="s">
        <v>357</v>
      </c>
      <c r="J72" t="s">
        <v>87</v>
      </c>
      <c r="L72" t="s">
        <v>358</v>
      </c>
      <c r="M72" t="s">
        <v>44</v>
      </c>
      <c r="N72" t="s">
        <v>359</v>
      </c>
      <c r="O72" t="s">
        <v>360</v>
      </c>
      <c r="P72">
        <v>688916429</v>
      </c>
      <c r="Q72" t="s">
        <v>99</v>
      </c>
      <c r="R72" t="s">
        <v>354</v>
      </c>
      <c r="T72" t="b">
        <v>0</v>
      </c>
      <c r="V72" t="b">
        <v>1</v>
      </c>
      <c r="W72" t="b">
        <v>1</v>
      </c>
      <c r="X72" t="b">
        <v>1</v>
      </c>
      <c r="Y72" t="b">
        <v>1</v>
      </c>
      <c r="Z72" t="b">
        <v>0</v>
      </c>
      <c r="AA72" t="b">
        <v>0</v>
      </c>
      <c r="AB72" t="b">
        <v>0</v>
      </c>
      <c r="AC72" t="s">
        <v>262</v>
      </c>
    </row>
    <row r="73" spans="3:29" x14ac:dyDescent="0.25">
      <c r="C73" t="s">
        <v>362</v>
      </c>
      <c r="D73">
        <v>67</v>
      </c>
      <c r="E73" t="s">
        <v>39</v>
      </c>
      <c r="F73" t="s">
        <v>85</v>
      </c>
      <c r="G73" s="43">
        <v>45596</v>
      </c>
      <c r="H73" s="43">
        <v>45632</v>
      </c>
      <c r="I73" t="s">
        <v>363</v>
      </c>
      <c r="J73" t="s">
        <v>151</v>
      </c>
      <c r="L73" t="s">
        <v>364</v>
      </c>
      <c r="M73" t="s">
        <v>44</v>
      </c>
      <c r="N73" t="s">
        <v>365</v>
      </c>
      <c r="P73">
        <v>688813567</v>
      </c>
      <c r="Q73" t="s">
        <v>99</v>
      </c>
      <c r="R73" t="s">
        <v>260</v>
      </c>
      <c r="T73" t="b">
        <v>0</v>
      </c>
      <c r="U73" t="s">
        <v>367</v>
      </c>
      <c r="V73" t="b">
        <v>1</v>
      </c>
      <c r="W73" t="b">
        <v>1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s">
        <v>262</v>
      </c>
    </row>
    <row r="74" spans="3:29" x14ac:dyDescent="0.25">
      <c r="C74" t="s">
        <v>331</v>
      </c>
      <c r="D74">
        <v>68</v>
      </c>
      <c r="E74" t="s">
        <v>62</v>
      </c>
      <c r="F74" t="s">
        <v>85</v>
      </c>
      <c r="G74" s="43">
        <v>45596</v>
      </c>
      <c r="H74" s="43">
        <v>45631</v>
      </c>
      <c r="I74" t="s">
        <v>332</v>
      </c>
      <c r="J74" t="s">
        <v>421</v>
      </c>
      <c r="L74" t="s">
        <v>333</v>
      </c>
      <c r="M74" t="s">
        <v>44</v>
      </c>
      <c r="N74" t="s">
        <v>334</v>
      </c>
      <c r="O74" t="s">
        <v>335</v>
      </c>
      <c r="P74">
        <v>646566384</v>
      </c>
      <c r="Q74" t="s">
        <v>99</v>
      </c>
      <c r="R74" t="s">
        <v>225</v>
      </c>
      <c r="T74" t="b">
        <v>0</v>
      </c>
      <c r="V74" t="b">
        <v>1</v>
      </c>
      <c r="W74" t="b">
        <v>1</v>
      </c>
      <c r="X74" t="b">
        <v>1</v>
      </c>
      <c r="Y74" t="b">
        <v>1</v>
      </c>
      <c r="Z74" t="b">
        <v>0</v>
      </c>
      <c r="AA74" t="b">
        <v>0</v>
      </c>
      <c r="AB74" t="b">
        <v>0</v>
      </c>
      <c r="AC74" t="s">
        <v>262</v>
      </c>
    </row>
    <row r="75" spans="3:29" x14ac:dyDescent="0.25">
      <c r="C75" t="s">
        <v>337</v>
      </c>
      <c r="D75">
        <v>69</v>
      </c>
      <c r="E75" t="s">
        <v>39</v>
      </c>
      <c r="F75" t="s">
        <v>85</v>
      </c>
      <c r="G75" s="43">
        <v>45596</v>
      </c>
      <c r="H75" s="43">
        <v>45631</v>
      </c>
      <c r="I75" t="s">
        <v>338</v>
      </c>
      <c r="J75" t="s">
        <v>42</v>
      </c>
      <c r="L75" t="s">
        <v>339</v>
      </c>
      <c r="M75" t="s">
        <v>44</v>
      </c>
      <c r="N75" t="s">
        <v>340</v>
      </c>
      <c r="P75">
        <v>681034984</v>
      </c>
      <c r="Q75" t="s">
        <v>99</v>
      </c>
      <c r="R75" t="s">
        <v>1195</v>
      </c>
      <c r="V75" t="b">
        <v>1</v>
      </c>
      <c r="W75" t="b">
        <v>1</v>
      </c>
      <c r="AC75" t="s">
        <v>262</v>
      </c>
    </row>
    <row r="76" spans="3:29" x14ac:dyDescent="0.25">
      <c r="C76" t="s">
        <v>368</v>
      </c>
      <c r="D76">
        <v>70</v>
      </c>
      <c r="E76" t="s">
        <v>62</v>
      </c>
      <c r="F76" t="s">
        <v>1072</v>
      </c>
      <c r="G76" s="43">
        <v>45717</v>
      </c>
      <c r="I76" t="s">
        <v>369</v>
      </c>
      <c r="J76" t="s">
        <v>42</v>
      </c>
      <c r="K76" t="s">
        <v>407</v>
      </c>
      <c r="L76" t="s">
        <v>370</v>
      </c>
      <c r="M76" t="s">
        <v>44</v>
      </c>
      <c r="N76" t="s">
        <v>371</v>
      </c>
      <c r="P76">
        <v>646688131</v>
      </c>
      <c r="Q76" t="s">
        <v>99</v>
      </c>
      <c r="R76" t="s">
        <v>323</v>
      </c>
      <c r="AC76" t="s">
        <v>262</v>
      </c>
    </row>
    <row r="77" spans="3:29" x14ac:dyDescent="0.25">
      <c r="C77" t="s">
        <v>374</v>
      </c>
      <c r="D77">
        <v>71</v>
      </c>
      <c r="E77" t="s">
        <v>39</v>
      </c>
      <c r="F77" t="s">
        <v>1072</v>
      </c>
      <c r="G77" s="43">
        <v>45737</v>
      </c>
      <c r="J77" t="s">
        <v>483</v>
      </c>
      <c r="P77">
        <v>661779516</v>
      </c>
      <c r="Q77" t="s">
        <v>99</v>
      </c>
      <c r="R77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0DD4E01D5D0F43B788C39026B1D9B3" ma:contentTypeVersion="11" ma:contentTypeDescription="Crear nuevo documento." ma:contentTypeScope="" ma:versionID="fb5f71a05a81f81817adc51e252fab3a">
  <xsd:schema xmlns:xsd="http://www.w3.org/2001/XMLSchema" xmlns:xs="http://www.w3.org/2001/XMLSchema" xmlns:p="http://schemas.microsoft.com/office/2006/metadata/properties" xmlns:ns2="99113f76-3770-4121-ae05-b5506c68140c" targetNamespace="http://schemas.microsoft.com/office/2006/metadata/properties" ma:root="true" ma:fieldsID="9c8af0c50959bfc72c4cc75943b96e07" ns2:_="">
    <xsd:import namespace="99113f76-3770-4121-ae05-b5506c6814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13f76-3770-4121-ae05-b5506c681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d04307a-8975-4cc6-89e8-356b3fc34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113f76-3770-4121-ae05-b5506c6814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74AF7C-8ED8-47CD-A5BF-2861A9811E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424DE9-41E8-46E9-AEC5-66EED3CAA7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113f76-3770-4121-ae05-b5506c681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47695B-CC21-4101-AD2D-FFFB16830A8D}">
  <ds:schemaRefs>
    <ds:schemaRef ds:uri="http://schemas.microsoft.com/office/2006/metadata/properties"/>
    <ds:schemaRef ds:uri="http://schemas.microsoft.com/office/infopath/2007/PartnerControls"/>
    <ds:schemaRef ds:uri="99113f76-3770-4121-ae05-b5506c6814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ReadMe</vt:lpstr>
      <vt:lpstr>Miembros</vt:lpstr>
      <vt:lpstr>Colaboradores</vt:lpstr>
      <vt:lpstr>Estadisticas</vt:lpstr>
      <vt:lpstr>Gráficos</vt:lpstr>
      <vt:lpstr>Alumnis</vt:lpstr>
      <vt:lpstr>Faculties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Jimena del Río Rodrigalvarez</dc:creator>
  <cp:keywords/>
  <dc:description/>
  <cp:lastModifiedBy>Gonzalo de Maguregui Sánchez</cp:lastModifiedBy>
  <cp:revision/>
  <dcterms:created xsi:type="dcterms:W3CDTF">2024-11-11T16:10:30Z</dcterms:created>
  <dcterms:modified xsi:type="dcterms:W3CDTF">2025-10-04T20:49:11Z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0x010100850DD4E01D5D0F43B788C39026B1D9B3</vt:lpwstr>
  </property>
  <property fmtid="{D5CDD505-2E9C-101B-9397-08002B2CF9AE}" pid="3" name="MediaServiceImageTags">
    <vt:lpwstr/>
  </property>
</Properties>
</file>